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queryTables/queryTable4.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5.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arias\Desktop\Data Analyst\Repositorio Data Analyst\"/>
    </mc:Choice>
  </mc:AlternateContent>
  <xr:revisionPtr revIDLastSave="0" documentId="13_ncr:1_{168390F4-832C-4DAA-8743-FF2688C81AA0}" xr6:coauthVersionLast="47" xr6:coauthVersionMax="47" xr10:uidLastSave="{00000000-0000-0000-0000-000000000000}"/>
  <bookViews>
    <workbookView xWindow="-108" yWindow="-108" windowWidth="23256" windowHeight="12456" activeTab="4" xr2:uid="{00000000-000D-0000-FFFF-FFFF00000000}"/>
  </bookViews>
  <sheets>
    <sheet name="ventas" sheetId="3" r:id="rId1"/>
    <sheet name="productos" sheetId="2" r:id="rId2"/>
    <sheet name="ventas (3)" sheetId="7" r:id="rId3"/>
    <sheet name="ventas (2)" sheetId="6" state="hidden" r:id="rId4"/>
    <sheet name="ventas_febrero" sheetId="5" r:id="rId5"/>
    <sheet name="Hoja1" sheetId="4" state="hidden" r:id="rId6"/>
  </sheets>
  <definedNames>
    <definedName name="_xlcn.WorksheetConnection_Practicamerge.xlsxproductos1" hidden="1">productos[]</definedName>
    <definedName name="_xlcn.WorksheetConnection_Practicamerge.xlsxventas_febrero1" hidden="1">ventas_febrero[]</definedName>
    <definedName name="_xlcn.WorksheetConnection_Practicamerge.xlsxventas1" hidden="1">ventas[]</definedName>
    <definedName name="DatosExternos_1" localSheetId="1" hidden="1">productos!$A$1:$C$6</definedName>
    <definedName name="DatosExternos_1" localSheetId="3">'ventas (2)'!$A$1</definedName>
    <definedName name="DatosExternos_1" localSheetId="4" hidden="1">ventas_febrero!$A$1:$E$21</definedName>
    <definedName name="DatosExternos_2" localSheetId="0" hidden="1">ventas!$A$1:$H$70</definedName>
    <definedName name="DatosExternos_2" localSheetId="2" hidden="1">'ventas (3)'!$A$1:$B$5</definedName>
  </definedNames>
  <calcPr calcId="162913"/>
  <pivotCaches>
    <pivotCache cacheId="3" r:id="rId7"/>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ventas_febrero" name="ventas_febrero" connection="WorksheetConnection_Practica merge.xlsx!ventas_febrero"/>
          <x15:modelTable id="ventas" name="ventas" connection="WorksheetConnection_Practica merge.xlsx!ventas"/>
          <x15:modelTable id="productos" name="productos" connection="WorksheetConnection_Practica merge.xlsx!productos"/>
        </x15:modelTables>
        <x15:modelRelationships>
          <x15:modelRelationship fromTable="ventas_febrero" fromColumn="Producto" toTable="productos" toColumn="Producto"/>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F8480A8-9AEE-410E-B15B-3BDC87DC95CE}" keepAlive="1" name="Consulta - productos" description="Conexión a la consulta 'productos' en el libro." type="5" refreshedVersion="8" background="1" saveData="1">
    <dbPr connection="Provider=Microsoft.Mashup.OleDb.1;Data Source=$Workbook$;Location=productos;Extended Properties=&quot;&quot;" command="SELECT * FROM [productos]"/>
  </connection>
  <connection id="2" xr16:uid="{F3A6ACA6-54B0-43EA-A31C-4A88D8089E0D}" keepAlive="1" name="Consulta - Umbral Alta" description="Conexión a la consulta 'Umbral Alta' en el libro." type="5" refreshedVersion="0" background="1">
    <dbPr connection="Provider=Microsoft.Mashup.OleDb.1;Data Source=$Workbook$;Location=&quot;Umbral Alta&quot;;Extended Properties=&quot;&quot;" command="SELECT * FROM [Umbral Alta]"/>
  </connection>
  <connection id="3" xr16:uid="{14259E61-70C5-48C1-A960-BCFDE3F93FBE}" keepAlive="1" name="Consulta - ventas" description="Conexión a la consulta 'ventas' en el libro." type="5" refreshedVersion="8" background="1" saveData="1">
    <dbPr connection="Provider=Microsoft.Mashup.OleDb.1;Data Source=$Workbook$;Location=ventas;Extended Properties=&quot;&quot;" command="SELECT * FROM [ventas]"/>
  </connection>
  <connection id="4" xr16:uid="{B90D1615-3F77-4A9C-9185-132454828613}" keepAlive="1" name="Consulta - ventas (2)" description="Conexión a la consulta 'ventas (2)' en el libro." type="5" refreshedVersion="0" background="1" saveData="1">
    <dbPr connection="Provider=Microsoft.Mashup.OleDb.1;Data Source=$Workbook$;Location=&quot;ventas (2)&quot;;Extended Properties=&quot;&quot;" command="SELECT * FROM [ventas (2)]"/>
  </connection>
  <connection id="5" xr16:uid="{8DAAD142-85DF-4385-BC34-A79A5F878D44}" keepAlive="1" name="Consulta - ventas (2)1" description="Conexión a la consulta 'ventas (2)' en el libro." type="5" refreshedVersion="8" background="1" saveData="1">
    <dbPr connection="Provider=Microsoft.Mashup.OleDb.1;Data Source=$Workbook$;Location=&quot;ventas (2)&quot;;Extended Properties=&quot;&quot;" command="SELECT * FROM [ventas (2)]"/>
  </connection>
  <connection id="6" xr16:uid="{82F9CFCE-A6BF-4289-BA16-968FF9F7EBCB}" keepAlive="1" name="Consulta - ventas_febrero" description="Conexión a la consulta 'ventas_febrero' en el libro." type="5" refreshedVersion="8" background="1" saveData="1">
    <dbPr connection="Provider=Microsoft.Mashup.OleDb.1;Data Source=$Workbook$;Location=ventas_febrero;Extended Properties=&quot;&quot;" command="SELECT * FROM [ventas_febrero]"/>
  </connection>
  <connection id="7" xr16:uid="{CBA6336A-575E-4325-B5F1-D88EE9ED6144}"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320832DB-918B-4216-8819-D3F0A2C419E8}" name="WorksheetConnection_Practica merge.xlsx!productos" type="102" refreshedVersion="8" minRefreshableVersion="5">
    <extLst>
      <ext xmlns:x15="http://schemas.microsoft.com/office/spreadsheetml/2010/11/main" uri="{DE250136-89BD-433C-8126-D09CA5730AF9}">
        <x15:connection id="productos">
          <x15:rangePr sourceName="_xlcn.WorksheetConnection_Practicamerge.xlsxproductos1"/>
        </x15:connection>
      </ext>
    </extLst>
  </connection>
  <connection id="9" xr16:uid="{C031A403-3334-4C97-BCE8-69E292AC30A9}" name="WorksheetConnection_Practica merge.xlsx!ventas" type="102" refreshedVersion="8" minRefreshableVersion="5">
    <extLst>
      <ext xmlns:x15="http://schemas.microsoft.com/office/spreadsheetml/2010/11/main" uri="{DE250136-89BD-433C-8126-D09CA5730AF9}">
        <x15:connection id="ventas">
          <x15:rangePr sourceName="_xlcn.WorksheetConnection_Practicamerge.xlsxventas1"/>
        </x15:connection>
      </ext>
    </extLst>
  </connection>
  <connection id="10" xr16:uid="{62019BD6-5F5F-481F-8535-B931BB86A700}" name="WorksheetConnection_Practica merge.xlsx!ventas_febrero" type="102" refreshedVersion="8" minRefreshableVersion="5">
    <extLst>
      <ext xmlns:x15="http://schemas.microsoft.com/office/spreadsheetml/2010/11/main" uri="{DE250136-89BD-433C-8126-D09CA5730AF9}">
        <x15:connection id="ventas_febrero">
          <x15:rangePr sourceName="_xlcn.WorksheetConnection_Practicamerge.xlsxventas_febrero1"/>
        </x15:connection>
      </ext>
    </extLst>
  </connection>
</connections>
</file>

<file path=xl/sharedStrings.xml><?xml version="1.0" encoding="utf-8"?>
<sst xmlns="http://schemas.openxmlformats.org/spreadsheetml/2006/main" count="436" uniqueCount="38">
  <si>
    <t>Producto</t>
  </si>
  <si>
    <t>Precio</t>
  </si>
  <si>
    <t>Categoria</t>
  </si>
  <si>
    <t>Laptop</t>
  </si>
  <si>
    <t>Tecnologia</t>
  </si>
  <si>
    <t>Mouse</t>
  </si>
  <si>
    <t>Accesorios</t>
  </si>
  <si>
    <t>Teclado</t>
  </si>
  <si>
    <t>Monitor</t>
  </si>
  <si>
    <t>Tablet</t>
  </si>
  <si>
    <t>Fecha</t>
  </si>
  <si>
    <t>Region</t>
  </si>
  <si>
    <t>Vendedor</t>
  </si>
  <si>
    <t>Monto</t>
  </si>
  <si>
    <t>Norte</t>
  </si>
  <si>
    <t>maria</t>
  </si>
  <si>
    <t>Central</t>
  </si>
  <si>
    <t>juan</t>
  </si>
  <si>
    <t>pepe</t>
  </si>
  <si>
    <t>Sur</t>
  </si>
  <si>
    <t>marta</t>
  </si>
  <si>
    <r>
      <rPr>
        <b/>
        <i/>
        <sz val="11"/>
        <color theme="1"/>
        <rFont val="Calibri"/>
        <family val="2"/>
        <scheme val="minor"/>
      </rPr>
      <t>XLOOKUP vs. Merge (Power Query)</t>
    </r>
    <r>
      <rPr>
        <sz val="11"/>
        <color theme="1"/>
        <rFont val="Calibri"/>
        <family val="2"/>
        <scheme val="minor"/>
      </rPr>
      <t xml:space="preserve">
XLOOKUP es una fórmula que trabaja fila por fila dentro de una hoja de Excel — busca un valor y trae un dato relacionado desde otra tabla. En esencia, siempre se comporta como una "Externa izquierda": conserva todas mis filas actuales y trae lo que coincida.
Merge, en cambio, funciona dentro de Power Query y combina tablas completas entre sí, no fila por fila. Su ventaja principal es que da control real sobre cómo tratar los datos que no coinciden entre ambas tablas — con tipos como Externa izquierda, Interna o Externa derecha, cada uno responde una pregunta de negocio distinta. Además, al estar dentro de Power Query, la combinación se recalcula automáticamente si los datos originales cambian, sin necesidad de volver a arrastrar ninguna fórmula.</t>
    </r>
  </si>
  <si>
    <t>Con 60 ventas y un producto ('Audífonos') fuera de catálogo: Externa izquierda me dio 60 filas con nulls, Interna me dio 49 filas sin nulls.</t>
  </si>
  <si>
    <t>DatosExternos_1</t>
  </si>
  <si>
    <t>Clasificacion</t>
  </si>
  <si>
    <t>Baja</t>
  </si>
  <si>
    <t>Alta</t>
  </si>
  <si>
    <t>Audifonos</t>
  </si>
  <si>
    <t>Cantidad de ventas</t>
  </si>
  <si>
    <r>
      <rPr>
        <b/>
        <i/>
        <sz val="11"/>
        <color theme="1"/>
        <rFont val="Calibri"/>
        <family val="2"/>
        <scheme val="minor"/>
      </rPr>
      <t>Anexar consultas (Append)</t>
    </r>
    <r>
      <rPr>
        <sz val="11"/>
        <color theme="1"/>
        <rFont val="Calibri"/>
        <family val="2"/>
        <scheme val="minor"/>
      </rPr>
      <t xml:space="preserve">
Append apila dos tablas con la misma estructura de columnas, una debajo de otra — a diferencia de `Merge`, que combina tablas agregando columnas nuevas
- Junté ventas de "enero" (60 filas) con ventas de "febrero" (20 filas) → resultado: 69 filas
- **Aprendizaje clave sobre orden de operaciones:** como hice el Merge (con la tabla de productos) *antes* del Append, las 20 filas nuevas de febrero quedaron sin Precio/Categoría (null), porque nunca pasaron por ese cruce. Si hubiera anexado primero y combinado después, todas las filas habrían quedado completas.</t>
    </r>
  </si>
  <si>
    <r>
      <rPr>
        <b/>
        <i/>
        <sz val="11"/>
        <color theme="1"/>
        <rFont val="Calibri"/>
        <family val="2"/>
        <scheme val="minor"/>
      </rPr>
      <t>Agrupar por:</t>
    </r>
    <r>
      <rPr>
        <sz val="11"/>
        <color theme="1"/>
        <rFont val="Calibri"/>
        <family val="2"/>
        <scheme val="minor"/>
      </rPr>
      <t xml:space="preserve"> el equivalente de una tabla dinámica o `GROUP BY`, pero generado dentro de Power Query como una tabla nueva, no interactiva
Usé </t>
    </r>
    <r>
      <rPr>
        <b/>
        <i/>
        <sz val="11"/>
        <color theme="1"/>
        <rFont val="Calibri"/>
        <family val="2"/>
        <scheme val="minor"/>
      </rPr>
      <t>Referencia de consulta</t>
    </r>
    <r>
      <rPr>
        <sz val="11"/>
        <color theme="1"/>
        <rFont val="Calibri"/>
        <family val="2"/>
        <scheme val="minor"/>
      </rPr>
      <t xml:space="preserve"> para mantener dos versiones de mis datos sin duplicar trabajo: una con el detalle completo (con la columna condicional) y otra resumida (agrupada por vendedor)
- Resultado del agrupado por Vendedor (Recuento de ventas):
- Verifiqué que el total cuadrara: 21+18+15+15 = 69, igual al total de filas antes de agrupar
- Observación: maria vendió casi el doble que pepe o marta — vale la pena investigar por qué en un análisis futuro</t>
    </r>
  </si>
  <si>
    <r>
      <rPr>
        <b/>
        <i/>
        <sz val="11"/>
        <color theme="1"/>
        <rFont val="Calibri"/>
        <family val="2"/>
        <scheme val="minor"/>
      </rPr>
      <t xml:space="preserve">Columna condicional: "Clasificacion" </t>
    </r>
    <r>
      <rPr>
        <sz val="11"/>
        <color theme="1"/>
        <rFont val="Calibri"/>
        <family val="2"/>
        <scheme val="minor"/>
      </rPr>
      <t>el equivalente visual (sin fórmula) de `SI()` — clasifiqué cada venta como "Alta" o "Baja" según si el Monto supera 50,000</t>
    </r>
  </si>
  <si>
    <t>Etiquetas de fila</t>
  </si>
  <si>
    <t>Total general</t>
  </si>
  <si>
    <t>(en blanco)</t>
  </si>
  <si>
    <t>Suma de Monto</t>
  </si>
  <si>
    <t>Etiquetas de columna</t>
  </si>
  <si>
    <t>En Accesorios, María lidera claramente con ₡124,000 de los ₡156,000 totales (80% de la categoría). En Tecnología, en cambio, las ventas están más repartidas: Marta lidera con ₡120,000, seguida de Juan (₡86,000) y María (₡58,000). En conjunto, Tecnología generó más ingresos totales (₡283,000) que Accesorios (₡156,000).
Calidad de datos!!
₡273,000 en ventas (repartidos entre Juan y María) corresponden al producto "Audífonos", que no está registrado en la tabla `productos` y por lo tanto no tiene Categoría asignada. Se debería investigar por qué falta este producto en el catálogo — probablemente debería clasificarse dentro de "Accesorios" — y corregirlo para tener un análisis completo y preciso.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</si>
</sst>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6">
    <fill>
      <patternFill patternType="none"/>
    </fill>
    <fill>
      <patternFill patternType="gray125"/>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5FF"/>
        <bgColor indexed="64"/>
      </patternFill>
    </fill>
  </fills>
  <borders count="1">
    <border>
      <left/>
      <right/>
      <top/>
      <bottom/>
      <diagonal/>
    </border>
  </borders>
  <cellStyleXfs count="1">
    <xf numFmtId="0" fontId="0" fillId="0" borderId="0"/>
  </cellStyleXfs>
  <cellXfs count="16">
    <xf numFmtId="0" fontId="0" fillId="0" borderId="0" xfId="0"/>
    <xf numFmtId="14" fontId="0" fillId="0" borderId="0" xfId="0" applyNumberFormat="1"/>
    <xf numFmtId="0" fontId="0" fillId="0" borderId="0" xfId="0" applyAlignment="1">
      <alignment horizontal="left" vertical="top" wrapText="1"/>
    </xf>
    <xf numFmtId="14" fontId="0" fillId="3" borderId="0" xfId="0" applyNumberFormat="1" applyFill="1"/>
    <xf numFmtId="0" fontId="0" fillId="3" borderId="0" xfId="0" applyFill="1"/>
    <xf numFmtId="0" fontId="0" fillId="0" borderId="0" xfId="0" applyAlignment="1">
      <alignment vertical="top"/>
    </xf>
    <xf numFmtId="0" fontId="0" fillId="5" borderId="0" xfId="0" applyFill="1"/>
    <xf numFmtId="0" fontId="0" fillId="0" borderId="0" xfId="0" pivotButton="1"/>
    <xf numFmtId="0" fontId="0" fillId="0" borderId="0" xfId="0" applyAlignment="1">
      <alignment horizontal="left"/>
    </xf>
    <xf numFmtId="0" fontId="0" fillId="2" borderId="0" xfId="0" applyFill="1" applyAlignment="1">
      <alignment horizontal="left" vertical="top" wrapText="1"/>
    </xf>
    <xf numFmtId="0" fontId="0" fillId="2" borderId="0" xfId="0" applyFill="1" applyAlignment="1">
      <alignment horizontal="center" vertical="top" wrapText="1"/>
    </xf>
    <xf numFmtId="0" fontId="0" fillId="3" borderId="0" xfId="0" applyFill="1" applyAlignment="1">
      <alignment horizontal="left" vertical="top" wrapText="1"/>
    </xf>
    <xf numFmtId="0" fontId="0" fillId="5" borderId="0" xfId="0" applyFill="1" applyAlignment="1">
      <alignment horizontal="left" vertical="top" wrapText="1"/>
    </xf>
    <xf numFmtId="0" fontId="0" fillId="4" borderId="0" xfId="0" applyFill="1" applyAlignment="1">
      <alignment horizontal="left" vertical="top" wrapText="1"/>
    </xf>
    <xf numFmtId="0" fontId="0" fillId="0" borderId="0" xfId="0" applyNumberFormat="1"/>
    <xf numFmtId="0" fontId="0" fillId="0" borderId="0" xfId="0" applyAlignment="1">
      <alignment horizontal="left" vertical="top" wrapText="1"/>
    </xf>
  </cellXfs>
  <cellStyles count="1">
    <cellStyle name="Normal" xfId="0" builtinId="0"/>
  </cellStyles>
  <dxfs count="15">
    <dxf>
      <numFmt numFmtId="0" formatCode="General"/>
    </dxf>
    <dxf>
      <numFmt numFmtId="0" formatCode="General"/>
    </dxf>
    <dxf>
      <numFmt numFmtId="0" formatCode="General"/>
    </dxf>
    <dxf>
      <fill>
        <patternFill patternType="solid">
          <fgColor indexed="64"/>
          <bgColor rgb="FFFFC5FF"/>
        </patternFill>
      </fill>
    </dxf>
    <dxf>
      <numFmt numFmtId="0" formatCode="General"/>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0" formatCode="General"/>
      <fill>
        <patternFill patternType="solid">
          <fgColor indexed="64"/>
          <bgColor theme="5" tint="0.79998168889431442"/>
        </patternFill>
      </fill>
    </dxf>
    <dxf>
      <numFmt numFmtId="19" formatCode="m/d/yyyy"/>
      <fill>
        <patternFill patternType="solid">
          <fgColor indexed="64"/>
          <bgColor theme="5" tint="0.79998168889431442"/>
        </patternFill>
      </fill>
    </dxf>
    <dxf>
      <numFmt numFmtId="0" formatCode="General"/>
    </dxf>
    <dxf>
      <numFmt numFmtId="0" formatCode="General"/>
    </dxf>
    <dxf>
      <numFmt numFmtId="0" formatCode="General"/>
    </dxf>
    <dxf>
      <numFmt numFmtId="19" formatCode="m/d/yyyy"/>
    </dxf>
  </dxfs>
  <tableStyles count="0" defaultTableStyle="TableStyleMedium2" defaultPivotStyle="PivotStyleLight16"/>
  <colors>
    <mruColors>
      <color rgb="FFFFC5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owerPivotData" Target="model/item.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a Arias" refreshedDate="46272.591684259256" backgroundQuery="1" createdVersion="8" refreshedVersion="8" minRefreshableVersion="3" recordCount="0" supportSubquery="1" supportAdvancedDrill="1" xr:uid="{01610D77-2CEC-4C8C-8E31-10ED2C585B36}">
  <cacheSource type="external" connectionId="7"/>
  <cacheFields count="3">
    <cacheField name="[productos].[Categoria].[Categoria]" caption="Categoria" numFmtId="0" hierarchy="2" level="1">
      <sharedItems containsBlank="1" count="3">
        <s v="Accesorios"/>
        <s v="Tecnologia"/>
        <m/>
      </sharedItems>
    </cacheField>
    <cacheField name="[Measures].[Suma de Monto]" caption="Suma de Monto" numFmtId="0" hierarchy="23" level="32767"/>
    <cacheField name="[ventas_febrero].[Vendedor].[Vendedor]" caption="Vendedor" numFmtId="0" hierarchy="13" level="1">
      <sharedItems count="4">
        <s v="juan"/>
        <s v="maria"/>
        <s v="marta"/>
        <s v="pepe"/>
      </sharedItems>
    </cacheField>
  </cacheFields>
  <cacheHierarchies count="24">
    <cacheHierarchy uniqueName="[productos].[Producto]" caption="Producto" attribute="1" defaultMemberUniqueName="[productos].[Producto].[All]" allUniqueName="[productos].[Producto].[All]" dimensionUniqueName="[productos]" displayFolder="" count="0" memberValueDatatype="130" unbalanced="0"/>
    <cacheHierarchy uniqueName="[productos].[Precio]" caption="Precio" attribute="1" defaultMemberUniqueName="[productos].[Precio].[All]" allUniqueName="[productos].[Precio].[All]" dimensionUniqueName="[productos]" displayFolder="" count="0" memberValueDatatype="20" unbalanced="0"/>
    <cacheHierarchy uniqueName="[productos].[Categoria]" caption="Categoria" attribute="1" defaultMemberUniqueName="[productos].[Categoria].[All]" allUniqueName="[productos].[Categoria].[All]" dimensionUniqueName="[productos]" displayFolder="" count="2" memberValueDatatype="130" unbalanced="0">
      <fieldsUsage count="2">
        <fieldUsage x="-1"/>
        <fieldUsage x="0"/>
      </fieldsUsage>
    </cacheHierarchy>
    <cacheHierarchy uniqueName="[ventas].[Fecha]" caption="Fecha" attribute="1" time="1" defaultMemberUniqueName="[ventas].[Fecha].[All]" allUniqueName="[ventas].[Fecha].[All]" dimensionUniqueName="[ventas]" displayFolder="" count="0" memberValueDatatype="7" unbalanced="0"/>
    <cacheHierarchy uniqueName="[ventas].[Region]" caption="Region" attribute="1" defaultMemberUniqueName="[ventas].[Region].[All]" allUniqueName="[ventas].[Region].[All]" dimensionUniqueName="[ventas]" displayFolder="" count="0" memberValueDatatype="130" unbalanced="0"/>
    <cacheHierarchy uniqueName="[ventas].[Vendedor]" caption="Vendedor" attribute="1" defaultMemberUniqueName="[ventas].[Vendedor].[All]" allUniqueName="[ventas].[Vendedor].[All]" dimensionUniqueName="[ventas]" displayFolder="" count="0" memberValueDatatype="130" unbalanced="0"/>
    <cacheHierarchy uniqueName="[ventas].[Producto]" caption="Producto" attribute="1" defaultMemberUniqueName="[ventas].[Producto].[All]" allUniqueName="[ventas].[Producto].[All]" dimensionUniqueName="[ventas]" displayFolder="" count="0" memberValueDatatype="130" unbalanced="0"/>
    <cacheHierarchy uniqueName="[ventas].[Monto]" caption="Monto" attribute="1" defaultMemberUniqueName="[ventas].[Monto].[All]" allUniqueName="[ventas].[Monto].[All]" dimensionUniqueName="[ventas]" displayFolder="" count="0" memberValueDatatype="20" unbalanced="0"/>
    <cacheHierarchy uniqueName="[ventas].[Precio]" caption="Precio" attribute="1" defaultMemberUniqueName="[ventas].[Precio].[All]" allUniqueName="[ventas].[Precio].[All]" dimensionUniqueName="[ventas]" displayFolder="" count="0" memberValueDatatype="20" unbalanced="0"/>
    <cacheHierarchy uniqueName="[ventas].[Categoria]" caption="Categoria" attribute="1" defaultMemberUniqueName="[ventas].[Categoria].[All]" allUniqueName="[ventas].[Categoria].[All]" dimensionUniqueName="[ventas]" displayFolder="" count="0" memberValueDatatype="130" unbalanced="0"/>
    <cacheHierarchy uniqueName="[ventas].[Clasificacion]" caption="Clasificacion" attribute="1" defaultMemberUniqueName="[ventas].[Clasificacion].[All]" allUniqueName="[ventas].[Clasificacion].[All]" dimensionUniqueName="[ventas]" displayFolder="" count="0" memberValueDatatype="130" unbalanced="0"/>
    <cacheHierarchy uniqueName="[ventas_febrero].[Fecha]" caption="Fecha" attribute="1" time="1" defaultMemberUniqueName="[ventas_febrero].[Fecha].[All]" allUniqueName="[ventas_febrero].[Fecha].[All]" dimensionUniqueName="[ventas_febrero]" displayFolder="" count="0" memberValueDatatype="7" unbalanced="0"/>
    <cacheHierarchy uniqueName="[ventas_febrero].[Region]" caption="Region" attribute="1" defaultMemberUniqueName="[ventas_febrero].[Region].[All]" allUniqueName="[ventas_febrero].[Region].[All]" dimensionUniqueName="[ventas_febrero]" displayFolder="" count="0" memberValueDatatype="130" unbalanced="0"/>
    <cacheHierarchy uniqueName="[ventas_febrero].[Vendedor]" caption="Vendedor" attribute="1" defaultMemberUniqueName="[ventas_febrero].[Vendedor].[All]" allUniqueName="[ventas_febrero].[Vendedor].[All]" dimensionUniqueName="[ventas_febrero]" displayFolder="" count="2" memberValueDatatype="130" unbalanced="0">
      <fieldsUsage count="2">
        <fieldUsage x="-1"/>
        <fieldUsage x="2"/>
      </fieldsUsage>
    </cacheHierarchy>
    <cacheHierarchy uniqueName="[ventas_febrero].[Producto]" caption="Producto" attribute="1" defaultMemberUniqueName="[ventas_febrero].[Producto].[All]" allUniqueName="[ventas_febrero].[Producto].[All]" dimensionUniqueName="[ventas_febrero]" displayFolder="" count="0" memberValueDatatype="130" unbalanced="0"/>
    <cacheHierarchy uniqueName="[ventas_febrero].[Monto]" caption="Monto" attribute="1" defaultMemberUniqueName="[ventas_febrero].[Monto].[All]" allUniqueName="[ventas_febrero].[Monto].[All]" dimensionUniqueName="[ventas_febrero]" displayFolder="" count="0" memberValueDatatype="20" unbalanced="0"/>
    <cacheHierarchy uniqueName="[Measures].[__XL_Count productos]" caption="__XL_Count productos" measure="1" displayFolder="" measureGroup="productos" count="0" hidden="1"/>
    <cacheHierarchy uniqueName="[Measures].[__XL_Count ventas]" caption="__XL_Count ventas" measure="1" displayFolder="" measureGroup="ventas" count="0" hidden="1"/>
    <cacheHierarchy uniqueName="[Measures].[__XL_Count ventas_febrero]" caption="__XL_Count ventas_febrero" measure="1" displayFolder="" measureGroup="ventas_febrero" count="0" hidden="1"/>
    <cacheHierarchy uniqueName="[Measures].[__No measures defined]" caption="__No measures defined" measure="1" displayFolder="" count="0" hidden="1"/>
    <cacheHierarchy uniqueName="[Measures].[Suma de Precio]" caption="Suma de Precio" measure="1" displayFolder="" measureGroup="productos" count="0" hidden="1">
      <extLst>
        <ext xmlns:x15="http://schemas.microsoft.com/office/spreadsheetml/2010/11/main" uri="{B97F6D7D-B522-45F9-BDA1-12C45D357490}">
          <x15:cacheHierarchy aggregatedColumn="1"/>
        </ext>
      </extLst>
    </cacheHierarchy>
    <cacheHierarchy uniqueName="[Measures].[Recuento de Producto]" caption="Recuento de Producto" measure="1" displayFolder="" measureGroup="productos" count="0" hidden="1">
      <extLst>
        <ext xmlns:x15="http://schemas.microsoft.com/office/spreadsheetml/2010/11/main" uri="{B97F6D7D-B522-45F9-BDA1-12C45D357490}">
          <x15:cacheHierarchy aggregatedColumn="0"/>
        </ext>
      </extLst>
    </cacheHierarchy>
    <cacheHierarchy uniqueName="[Measures].[Suma de Precio 2]" caption="Suma de Precio 2" measure="1" displayFolder="" measureGroup="ventas" count="0" hidden="1">
      <extLst>
        <ext xmlns:x15="http://schemas.microsoft.com/office/spreadsheetml/2010/11/main" uri="{B97F6D7D-B522-45F9-BDA1-12C45D357490}">
          <x15:cacheHierarchy aggregatedColumn="8"/>
        </ext>
      </extLst>
    </cacheHierarchy>
    <cacheHierarchy uniqueName="[Measures].[Suma de Monto]" caption="Suma de Monto" measure="1" displayFolder="" measureGroup="ventas_febrero" count="0" oneField="1" hidden="1">
      <fieldsUsage count="1">
        <fieldUsage x="1"/>
      </fieldsUsage>
      <extLst>
        <ext xmlns:x15="http://schemas.microsoft.com/office/spreadsheetml/2010/11/main" uri="{B97F6D7D-B522-45F9-BDA1-12C45D357490}">
          <x15:cacheHierarchy aggregatedColumn="15"/>
        </ext>
      </extLst>
    </cacheHierarchy>
  </cacheHierarchies>
  <kpis count="0"/>
  <dimensions count="4">
    <dimension measure="1" name="Measures" uniqueName="[Measures]" caption="Measures"/>
    <dimension name="productos" uniqueName="[productos]" caption="productos"/>
    <dimension name="ventas" uniqueName="[ventas]" caption="ventas"/>
    <dimension name="ventas_febrero" uniqueName="[ventas_febrero]" caption="ventas_febrero"/>
  </dimensions>
  <measureGroups count="3">
    <measureGroup name="productos" caption="productos"/>
    <measureGroup name="ventas" caption="ventas"/>
    <measureGroup name="ventas_febrero" caption="ventas_febrero"/>
  </measureGroups>
  <maps count="4">
    <map measureGroup="0" dimension="1"/>
    <map measureGroup="1" dimension="2"/>
    <map measureGroup="2"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BC10ED-0DC2-4FD9-B6EE-6B0CAD1EF07D}" name="TablaDinámica5"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3:L8" firstHeaderRow="1" firstDataRow="2" firstDataCol="1"/>
  <pivotFields count="3">
    <pivotField axis="axisRow" allDrilled="1" subtotalTop="0" showAll="0" dataSourceSort="1" defaultSubtotal="0" defaultAttributeDrillState="1">
      <items count="3">
        <item x="0"/>
        <item x="1"/>
        <item x="2"/>
      </items>
    </pivotField>
    <pivotField dataField="1" subtotalTop="0" showAll="0" defaultSubtotal="0"/>
    <pivotField axis="axisCol" allDrilled="1" subtotalTop="0" showAll="0" dataSourceSort="1" defaultSubtotal="0" defaultAttributeDrillState="1">
      <items count="4">
        <item x="0"/>
        <item x="1"/>
        <item x="2"/>
        <item x="3"/>
      </items>
    </pivotField>
  </pivotFields>
  <rowFields count="1">
    <field x="0"/>
  </rowFields>
  <rowItems count="4">
    <i>
      <x/>
    </i>
    <i>
      <x v="1"/>
    </i>
    <i>
      <x v="2"/>
    </i>
    <i t="grand">
      <x/>
    </i>
  </rowItems>
  <colFields count="1">
    <field x="2"/>
  </colFields>
  <colItems count="5">
    <i>
      <x/>
    </i>
    <i>
      <x v="1"/>
    </i>
    <i>
      <x v="2"/>
    </i>
    <i>
      <x v="3"/>
    </i>
    <i t="grand">
      <x/>
    </i>
  </colItems>
  <dataFields count="1">
    <dataField name="Suma de Monto" fld="1" baseField="0" baseItem="0"/>
  </dataField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ventas_febrero]"/>
        <x15:activeTabTopLevelEntity name="[producto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3" xr16:uid="{239664BD-A84D-4D75-892F-DDC0A1F572C7}" autoFormatId="16" applyNumberFormats="0" applyBorderFormats="0" applyFontFormats="0" applyPatternFormats="0" applyAlignmentFormats="0" applyWidthHeightFormats="0">
  <queryTableRefresh nextId="9">
    <queryTableFields count="8">
      <queryTableField id="1" name="Fecha" tableColumnId="1"/>
      <queryTableField id="2" name="Region" tableColumnId="2"/>
      <queryTableField id="3" name="Vendedor" tableColumnId="3"/>
      <queryTableField id="4" name="Producto" tableColumnId="4"/>
      <queryTableField id="5" name="Monto" tableColumnId="5"/>
      <queryTableField id="6" name="Precio" tableColumnId="6"/>
      <queryTableField id="7" name="Categoria" tableColumnId="7"/>
      <queryTableField id="8" name="Clasificaci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17BEC0F6-1362-4826-8CF0-E61C42FCD77D}" autoFormatId="16" applyNumberFormats="0" applyBorderFormats="0" applyFontFormats="0" applyPatternFormats="0" applyAlignmentFormats="0" applyWidthHeightFormats="0">
  <queryTableRefresh nextId="4">
    <queryTableFields count="3">
      <queryTableField id="1" name="Producto" tableColumnId="1"/>
      <queryTableField id="2" name="Precio" tableColumnId="2"/>
      <queryTableField id="3" name="Categoria"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6DB69774-93A3-4CA1-8B05-8F44EE287D57}" autoFormatId="16" applyNumberFormats="0" applyBorderFormats="0" applyFontFormats="0" applyPatternFormats="0" applyAlignmentFormats="0" applyWidthHeightFormats="0">
  <queryTableRefresh nextId="3">
    <queryTableFields count="2">
      <queryTableField id="1" name="Vendedor" tableColumnId="1"/>
      <queryTableField id="2" name="Cantidad de ventas"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1" firstBackgroundRefresh="1" connectionId="4" xr16:uid="{1E93DCC6-1BBD-42E6-9E01-C04174509E1D}" autoFormatId="16" applyNumberFormats="0" applyBorderFormats="0" applyFontFormats="0" applyPatternFormats="0" applyAlignmentFormats="0" applyWidthHeightFormats="0">
  <queryTableRefresh>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1" connectionId="6" xr16:uid="{F69D6F13-B693-42D3-9FAE-4E4EFBF29DA2}" autoFormatId="16" applyNumberFormats="0" applyBorderFormats="0" applyFontFormats="0" applyPatternFormats="0" applyAlignmentFormats="0" applyWidthHeightFormats="0">
  <queryTableRefresh nextId="6">
    <queryTableFields count="5">
      <queryTableField id="1" name="Fecha" tableColumnId="1"/>
      <queryTableField id="2" name="Region" tableColumnId="2"/>
      <queryTableField id="3" name="Vendedor" tableColumnId="3"/>
      <queryTableField id="4" name="Producto" tableColumnId="4"/>
      <queryTableField id="5" name="Monto"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FA84F1-0CA9-441E-9581-FF2295C78FDE}" name="ventas" displayName="ventas" ref="A1:H70" tableType="queryTable" totalsRowShown="0">
  <autoFilter ref="A1:H70" xr:uid="{B9FA84F1-0CA9-441E-9581-FF2295C78FDE}"/>
  <tableColumns count="8">
    <tableColumn id="1" xr3:uid="{94BE8575-4A00-4A1A-93A3-68D13CA8C039}" uniqueName="1" name="Fecha" queryTableFieldId="1" dataDxfId="10"/>
    <tableColumn id="2" xr3:uid="{763A6AF8-D58D-4C45-8235-284ECD136917}" uniqueName="2" name="Region" queryTableFieldId="2" dataDxfId="9"/>
    <tableColumn id="3" xr3:uid="{9478A048-BFF5-47D8-A3BF-F1FEBA15276F}" uniqueName="3" name="Vendedor" queryTableFieldId="3" dataDxfId="8"/>
    <tableColumn id="4" xr3:uid="{4383986B-5A48-4721-A456-31FBA8EE5603}" uniqueName="4" name="Producto" queryTableFieldId="4" dataDxfId="7"/>
    <tableColumn id="5" xr3:uid="{8364D5FD-D210-4C26-AB37-F922992515FA}" uniqueName="5" name="Monto" queryTableFieldId="5" dataDxfId="6"/>
    <tableColumn id="6" xr3:uid="{3D6C4420-8AA9-4933-A252-89A97DC6020E}" uniqueName="6" name="Precio" queryTableFieldId="6" dataDxfId="5"/>
    <tableColumn id="7" xr3:uid="{AC9FE035-AACC-445D-A49F-16284D2FFF11}" uniqueName="7" name="Categoria" queryTableFieldId="7" dataDxfId="4"/>
    <tableColumn id="8" xr3:uid="{29FB3F2E-103B-421F-8B83-3D4BEE317724}" uniqueName="8" name="Clasificacion" queryTableFieldId="8" dataDxfId="3"/>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5B0D7A8-28C1-417C-A70B-9CA33974311A}" name="productos" displayName="productos" ref="A1:C6" tableType="queryTable" totalsRowShown="0">
  <autoFilter ref="A1:C6" xr:uid="{65B0D7A8-28C1-417C-A70B-9CA33974311A}"/>
  <tableColumns count="3">
    <tableColumn id="1" xr3:uid="{4FA05762-AF5C-42B3-B4CB-A4E32C763010}" uniqueName="1" name="Producto" queryTableFieldId="1" dataDxfId="2"/>
    <tableColumn id="2" xr3:uid="{BB508088-077D-4BC3-B557-28D1DC0D5FB9}" uniqueName="2" name="Precio" queryTableFieldId="2"/>
    <tableColumn id="3" xr3:uid="{36F8BD4C-F1A9-4700-B700-CD4D9158ADA8}" uniqueName="3" name="Categoria" queryTableFieldId="3"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9EAC109-6EF6-447C-9863-16AA94CE4C15}" name="ventas__2" displayName="ventas__2" ref="A1:B5" tableType="queryTable" totalsRowShown="0">
  <autoFilter ref="A1:B5" xr:uid="{29EAC109-6EF6-447C-9863-16AA94CE4C15}"/>
  <tableColumns count="2">
    <tableColumn id="1" xr3:uid="{7712D4EF-783E-4C8D-9574-B2543BEC395F}" uniqueName="1" name="Vendedor" queryTableFieldId="1" dataDxfId="0"/>
    <tableColumn id="2" xr3:uid="{BAC81B49-25CA-4281-8C01-411D443C581E}" uniqueName="2" name="Cantidad de ventas" queryTableFieldId="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E35704F-EC8E-4B5B-B543-3C24DC04778A}" name="ventas_febrero" displayName="ventas_febrero" ref="A1:E21" tableType="queryTable" totalsRowShown="0">
  <autoFilter ref="A1:E21" xr:uid="{6E35704F-EC8E-4B5B-B543-3C24DC04778A}"/>
  <tableColumns count="5">
    <tableColumn id="1" xr3:uid="{8BA1A49A-AC01-41BE-B663-A7BA726CA61E}" uniqueName="1" name="Fecha" queryTableFieldId="1" dataDxfId="14"/>
    <tableColumn id="2" xr3:uid="{63FCCB27-4DA6-4F58-AADC-030B09E83BE5}" uniqueName="2" name="Region" queryTableFieldId="2" dataDxfId="13"/>
    <tableColumn id="3" xr3:uid="{97BC2DA7-5088-4B71-ACFA-837A256F3D46}" uniqueName="3" name="Vendedor" queryTableFieldId="3" dataDxfId="12"/>
    <tableColumn id="4" xr3:uid="{46309320-A32D-4216-9C89-9F69A37F6B1B}" uniqueName="4" name="Producto" queryTableFieldId="4" dataDxfId="11"/>
    <tableColumn id="5" xr3:uid="{60246719-F569-453D-803F-FE61C388D856}" uniqueName="5" name="Monto"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009A-7EAB-4368-8BB3-8729D1A1FA00}">
  <dimension ref="A1:R70"/>
  <sheetViews>
    <sheetView topLeftCell="A2" workbookViewId="0">
      <selection activeCell="G54" sqref="G54"/>
    </sheetView>
  </sheetViews>
  <sheetFormatPr baseColWidth="10" defaultRowHeight="14.4" x14ac:dyDescent="0.3"/>
  <cols>
    <col min="1" max="1" width="9.5546875" bestFit="1" customWidth="1"/>
    <col min="2" max="2" width="9" bestFit="1" customWidth="1"/>
    <col min="4" max="4" width="11" bestFit="1" customWidth="1"/>
    <col min="5" max="5" width="9" bestFit="1" customWidth="1"/>
    <col min="6" max="6" width="8.44140625" bestFit="1" customWidth="1"/>
    <col min="7" max="7" width="11.21875" bestFit="1" customWidth="1"/>
    <col min="8" max="8" width="13.5546875" bestFit="1" customWidth="1"/>
    <col min="10" max="10" width="16.5546875" bestFit="1" customWidth="1"/>
    <col min="11" max="11" width="19.88671875" bestFit="1" customWidth="1"/>
  </cols>
  <sheetData>
    <row r="1" spans="1:18" x14ac:dyDescent="0.3">
      <c r="A1" t="s">
        <v>10</v>
      </c>
      <c r="B1" t="s">
        <v>11</v>
      </c>
      <c r="C1" t="s">
        <v>12</v>
      </c>
      <c r="D1" t="s">
        <v>0</v>
      </c>
      <c r="E1" t="s">
        <v>13</v>
      </c>
      <c r="F1" t="s">
        <v>1</v>
      </c>
      <c r="G1" t="s">
        <v>2</v>
      </c>
      <c r="H1" s="6" t="s">
        <v>24</v>
      </c>
    </row>
    <row r="2" spans="1:18" x14ac:dyDescent="0.3">
      <c r="A2" s="1">
        <v>46105</v>
      </c>
      <c r="B2" t="s">
        <v>14</v>
      </c>
      <c r="C2" t="s">
        <v>15</v>
      </c>
      <c r="D2" t="s">
        <v>3</v>
      </c>
      <c r="E2">
        <v>5000</v>
      </c>
      <c r="F2">
        <v>350000</v>
      </c>
      <c r="G2" t="s">
        <v>4</v>
      </c>
      <c r="H2" s="6" t="s">
        <v>25</v>
      </c>
      <c r="J2" s="9" t="s">
        <v>21</v>
      </c>
      <c r="K2" s="9"/>
      <c r="L2" s="9"/>
      <c r="M2" s="9"/>
      <c r="N2" s="9"/>
      <c r="O2" s="9"/>
      <c r="P2" s="9"/>
      <c r="Q2" s="9"/>
      <c r="R2" s="9"/>
    </row>
    <row r="3" spans="1:18" x14ac:dyDescent="0.3">
      <c r="A3" s="1">
        <v>46255</v>
      </c>
      <c r="B3" t="s">
        <v>16</v>
      </c>
      <c r="C3" t="s">
        <v>17</v>
      </c>
      <c r="D3" t="s">
        <v>3</v>
      </c>
      <c r="E3">
        <v>5000</v>
      </c>
      <c r="F3">
        <v>350000</v>
      </c>
      <c r="G3" t="s">
        <v>4</v>
      </c>
      <c r="H3" s="6" t="s">
        <v>25</v>
      </c>
      <c r="J3" s="9"/>
      <c r="K3" s="9"/>
      <c r="L3" s="9"/>
      <c r="M3" s="9"/>
      <c r="N3" s="9"/>
      <c r="O3" s="9"/>
      <c r="P3" s="9"/>
      <c r="Q3" s="9"/>
      <c r="R3" s="9"/>
    </row>
    <row r="4" spans="1:18" x14ac:dyDescent="0.3">
      <c r="A4" s="1">
        <v>46233</v>
      </c>
      <c r="B4" t="s">
        <v>16</v>
      </c>
      <c r="C4" t="s">
        <v>18</v>
      </c>
      <c r="D4" t="s">
        <v>7</v>
      </c>
      <c r="E4">
        <v>4000</v>
      </c>
      <c r="F4">
        <v>15000</v>
      </c>
      <c r="G4" t="s">
        <v>6</v>
      </c>
      <c r="H4" s="6" t="s">
        <v>25</v>
      </c>
      <c r="J4" s="9"/>
      <c r="K4" s="9"/>
      <c r="L4" s="9"/>
      <c r="M4" s="9"/>
      <c r="N4" s="9"/>
      <c r="O4" s="9"/>
      <c r="P4" s="9"/>
      <c r="Q4" s="9"/>
      <c r="R4" s="9"/>
    </row>
    <row r="5" spans="1:18" x14ac:dyDescent="0.3">
      <c r="A5" s="1">
        <v>46134</v>
      </c>
      <c r="B5" t="s">
        <v>19</v>
      </c>
      <c r="C5" t="s">
        <v>18</v>
      </c>
      <c r="D5" t="s">
        <v>5</v>
      </c>
      <c r="E5">
        <v>5000</v>
      </c>
      <c r="F5">
        <v>8000</v>
      </c>
      <c r="G5" t="s">
        <v>6</v>
      </c>
      <c r="H5" s="6" t="s">
        <v>25</v>
      </c>
      <c r="J5" s="9"/>
      <c r="K5" s="9"/>
      <c r="L5" s="9"/>
      <c r="M5" s="9"/>
      <c r="N5" s="9"/>
      <c r="O5" s="9"/>
      <c r="P5" s="9"/>
      <c r="Q5" s="9"/>
      <c r="R5" s="9"/>
    </row>
    <row r="6" spans="1:18" x14ac:dyDescent="0.3">
      <c r="A6" s="1">
        <v>46169</v>
      </c>
      <c r="B6" t="s">
        <v>19</v>
      </c>
      <c r="C6" t="s">
        <v>17</v>
      </c>
      <c r="D6" t="s">
        <v>3</v>
      </c>
      <c r="E6">
        <v>15000</v>
      </c>
      <c r="F6">
        <v>350000</v>
      </c>
      <c r="G6" t="s">
        <v>4</v>
      </c>
      <c r="H6" s="6" t="s">
        <v>25</v>
      </c>
      <c r="J6" s="9"/>
      <c r="K6" s="9"/>
      <c r="L6" s="9"/>
      <c r="M6" s="9"/>
      <c r="N6" s="9"/>
      <c r="O6" s="9"/>
      <c r="P6" s="9"/>
      <c r="Q6" s="9"/>
      <c r="R6" s="9"/>
    </row>
    <row r="7" spans="1:18" x14ac:dyDescent="0.3">
      <c r="A7" s="1">
        <v>46115</v>
      </c>
      <c r="B7" t="s">
        <v>19</v>
      </c>
      <c r="C7" t="s">
        <v>17</v>
      </c>
      <c r="D7" t="s">
        <v>5</v>
      </c>
      <c r="E7">
        <v>15000</v>
      </c>
      <c r="F7">
        <v>8000</v>
      </c>
      <c r="G7" t="s">
        <v>6</v>
      </c>
      <c r="H7" s="6" t="s">
        <v>25</v>
      </c>
      <c r="J7" s="9"/>
      <c r="K7" s="9"/>
      <c r="L7" s="9"/>
      <c r="M7" s="9"/>
      <c r="N7" s="9"/>
      <c r="O7" s="9"/>
      <c r="P7" s="9"/>
      <c r="Q7" s="9"/>
      <c r="R7" s="9"/>
    </row>
    <row r="8" spans="1:18" x14ac:dyDescent="0.3">
      <c r="A8" s="1">
        <v>46247</v>
      </c>
      <c r="B8" t="s">
        <v>19</v>
      </c>
      <c r="C8" t="s">
        <v>15</v>
      </c>
      <c r="D8" t="s">
        <v>7</v>
      </c>
      <c r="E8">
        <v>5000</v>
      </c>
      <c r="F8">
        <v>15000</v>
      </c>
      <c r="G8" t="s">
        <v>6</v>
      </c>
      <c r="H8" s="6" t="s">
        <v>25</v>
      </c>
      <c r="J8" s="9"/>
      <c r="K8" s="9"/>
      <c r="L8" s="9"/>
      <c r="M8" s="9"/>
      <c r="N8" s="9"/>
      <c r="O8" s="9"/>
      <c r="P8" s="9"/>
      <c r="Q8" s="9"/>
      <c r="R8" s="9"/>
    </row>
    <row r="9" spans="1:18" x14ac:dyDescent="0.3">
      <c r="A9" s="1">
        <v>46053</v>
      </c>
      <c r="B9" t="s">
        <v>16</v>
      </c>
      <c r="C9" t="s">
        <v>15</v>
      </c>
      <c r="D9" t="s">
        <v>5</v>
      </c>
      <c r="E9">
        <v>50000</v>
      </c>
      <c r="F9">
        <v>8000</v>
      </c>
      <c r="G9" t="s">
        <v>6</v>
      </c>
      <c r="H9" s="6" t="s">
        <v>26</v>
      </c>
      <c r="J9" s="9"/>
      <c r="K9" s="9"/>
      <c r="L9" s="9"/>
      <c r="M9" s="9"/>
      <c r="N9" s="9"/>
      <c r="O9" s="9"/>
      <c r="P9" s="9"/>
      <c r="Q9" s="9"/>
      <c r="R9" s="9"/>
    </row>
    <row r="10" spans="1:18" x14ac:dyDescent="0.3">
      <c r="A10" s="1">
        <v>46061</v>
      </c>
      <c r="B10" t="s">
        <v>19</v>
      </c>
      <c r="C10" t="s">
        <v>15</v>
      </c>
      <c r="D10" t="s">
        <v>3</v>
      </c>
      <c r="E10">
        <v>5000</v>
      </c>
      <c r="F10">
        <v>350000</v>
      </c>
      <c r="G10" t="s">
        <v>4</v>
      </c>
      <c r="H10" s="6" t="s">
        <v>25</v>
      </c>
      <c r="J10" s="9"/>
      <c r="K10" s="9"/>
      <c r="L10" s="9"/>
      <c r="M10" s="9"/>
      <c r="N10" s="9"/>
      <c r="O10" s="9"/>
      <c r="P10" s="9"/>
      <c r="Q10" s="9"/>
      <c r="R10" s="9"/>
    </row>
    <row r="11" spans="1:18" x14ac:dyDescent="0.3">
      <c r="A11" s="1">
        <v>46218</v>
      </c>
      <c r="B11" t="s">
        <v>16</v>
      </c>
      <c r="C11" t="s">
        <v>20</v>
      </c>
      <c r="D11" t="s">
        <v>7</v>
      </c>
      <c r="E11">
        <v>50000</v>
      </c>
      <c r="F11">
        <v>15000</v>
      </c>
      <c r="G11" t="s">
        <v>6</v>
      </c>
      <c r="H11" s="6" t="s">
        <v>26</v>
      </c>
      <c r="J11" s="9"/>
      <c r="K11" s="9"/>
      <c r="L11" s="9"/>
      <c r="M11" s="9"/>
      <c r="N11" s="9"/>
      <c r="O11" s="9"/>
      <c r="P11" s="9"/>
      <c r="Q11" s="9"/>
      <c r="R11" s="9"/>
    </row>
    <row r="12" spans="1:18" x14ac:dyDescent="0.3">
      <c r="A12" s="1">
        <v>46175</v>
      </c>
      <c r="B12" t="s">
        <v>19</v>
      </c>
      <c r="C12" t="s">
        <v>15</v>
      </c>
      <c r="D12" t="s">
        <v>3</v>
      </c>
      <c r="E12">
        <v>5000</v>
      </c>
      <c r="F12">
        <v>350000</v>
      </c>
      <c r="G12" t="s">
        <v>4</v>
      </c>
      <c r="H12" s="6" t="s">
        <v>25</v>
      </c>
      <c r="J12" s="9"/>
      <c r="K12" s="9"/>
      <c r="L12" s="9"/>
      <c r="M12" s="9"/>
      <c r="N12" s="9"/>
      <c r="O12" s="9"/>
      <c r="P12" s="9"/>
      <c r="Q12" s="9"/>
      <c r="R12" s="9"/>
    </row>
    <row r="13" spans="1:18" x14ac:dyDescent="0.3">
      <c r="A13" s="1">
        <v>46092</v>
      </c>
      <c r="B13" t="s">
        <v>19</v>
      </c>
      <c r="C13" t="s">
        <v>18</v>
      </c>
      <c r="D13" t="s">
        <v>3</v>
      </c>
      <c r="E13">
        <v>20000</v>
      </c>
      <c r="F13">
        <v>350000</v>
      </c>
      <c r="G13" t="s">
        <v>4</v>
      </c>
      <c r="H13" s="6" t="s">
        <v>25</v>
      </c>
    </row>
    <row r="14" spans="1:18" x14ac:dyDescent="0.3">
      <c r="A14" s="1">
        <v>46188</v>
      </c>
      <c r="B14" t="s">
        <v>16</v>
      </c>
      <c r="C14" t="s">
        <v>15</v>
      </c>
      <c r="D14" t="s">
        <v>7</v>
      </c>
      <c r="E14">
        <v>70000</v>
      </c>
      <c r="F14">
        <v>15000</v>
      </c>
      <c r="G14" t="s">
        <v>6</v>
      </c>
      <c r="H14" s="6" t="s">
        <v>26</v>
      </c>
      <c r="J14" s="10" t="s">
        <v>22</v>
      </c>
      <c r="K14" s="10"/>
      <c r="L14" s="10"/>
      <c r="M14" s="10"/>
      <c r="N14" s="10"/>
      <c r="O14" s="10"/>
      <c r="P14" s="10"/>
      <c r="Q14" s="10"/>
      <c r="R14" s="10"/>
    </row>
    <row r="15" spans="1:18" x14ac:dyDescent="0.3">
      <c r="A15" s="1">
        <v>46250</v>
      </c>
      <c r="B15" t="s">
        <v>16</v>
      </c>
      <c r="C15" t="s">
        <v>20</v>
      </c>
      <c r="D15" t="s">
        <v>3</v>
      </c>
      <c r="E15">
        <v>120000</v>
      </c>
      <c r="F15">
        <v>350000</v>
      </c>
      <c r="G15" t="s">
        <v>4</v>
      </c>
      <c r="H15" s="6" t="s">
        <v>26</v>
      </c>
      <c r="J15" s="10"/>
      <c r="K15" s="10"/>
      <c r="L15" s="10"/>
      <c r="M15" s="10"/>
      <c r="N15" s="10"/>
      <c r="O15" s="10"/>
      <c r="P15" s="10"/>
      <c r="Q15" s="10"/>
      <c r="R15" s="10"/>
    </row>
    <row r="16" spans="1:18" x14ac:dyDescent="0.3">
      <c r="A16" s="1">
        <v>46113</v>
      </c>
      <c r="B16" t="s">
        <v>14</v>
      </c>
      <c r="C16" t="s">
        <v>18</v>
      </c>
      <c r="D16" t="s">
        <v>8</v>
      </c>
      <c r="E16">
        <v>4000</v>
      </c>
      <c r="F16">
        <v>120000</v>
      </c>
      <c r="G16" t="s">
        <v>4</v>
      </c>
      <c r="H16" s="6" t="s">
        <v>25</v>
      </c>
      <c r="J16" s="10"/>
      <c r="K16" s="10"/>
      <c r="L16" s="10"/>
      <c r="M16" s="10"/>
      <c r="N16" s="10"/>
      <c r="O16" s="10"/>
      <c r="P16" s="10"/>
      <c r="Q16" s="10"/>
      <c r="R16" s="10"/>
    </row>
    <row r="17" spans="1:18" x14ac:dyDescent="0.3">
      <c r="A17" s="1">
        <v>46078</v>
      </c>
      <c r="B17" t="s">
        <v>19</v>
      </c>
      <c r="C17" t="s">
        <v>17</v>
      </c>
      <c r="D17" t="s">
        <v>5</v>
      </c>
      <c r="E17">
        <v>70000</v>
      </c>
      <c r="F17">
        <v>8000</v>
      </c>
      <c r="G17" t="s">
        <v>6</v>
      </c>
      <c r="H17" s="6" t="s">
        <v>26</v>
      </c>
      <c r="J17" s="2"/>
      <c r="K17" s="2"/>
      <c r="L17" s="2"/>
      <c r="M17" s="2"/>
      <c r="N17" s="2"/>
      <c r="O17" s="2"/>
      <c r="P17" s="2"/>
      <c r="Q17" s="2"/>
      <c r="R17" s="2"/>
    </row>
    <row r="18" spans="1:18" x14ac:dyDescent="0.3">
      <c r="A18" s="1">
        <v>46123</v>
      </c>
      <c r="B18" t="s">
        <v>19</v>
      </c>
      <c r="C18" t="s">
        <v>18</v>
      </c>
      <c r="D18" t="s">
        <v>5</v>
      </c>
      <c r="E18">
        <v>120000</v>
      </c>
      <c r="F18">
        <v>8000</v>
      </c>
      <c r="G18" t="s">
        <v>6</v>
      </c>
      <c r="H18" s="6" t="s">
        <v>26</v>
      </c>
      <c r="J18" s="2"/>
      <c r="K18" s="2"/>
      <c r="L18" s="2"/>
      <c r="M18" s="2"/>
      <c r="N18" s="2"/>
      <c r="O18" s="2"/>
      <c r="P18" s="2"/>
      <c r="Q18" s="2"/>
      <c r="R18" s="2"/>
    </row>
    <row r="19" spans="1:18" x14ac:dyDescent="0.3">
      <c r="A19" s="1">
        <v>46125</v>
      </c>
      <c r="B19" t="s">
        <v>16</v>
      </c>
      <c r="C19" t="s">
        <v>20</v>
      </c>
      <c r="D19" t="s">
        <v>5</v>
      </c>
      <c r="E19">
        <v>70000</v>
      </c>
      <c r="F19">
        <v>8000</v>
      </c>
      <c r="G19" t="s">
        <v>6</v>
      </c>
      <c r="H19" s="6" t="s">
        <v>26</v>
      </c>
      <c r="J19" s="12" t="s">
        <v>31</v>
      </c>
      <c r="K19" s="12"/>
      <c r="L19" s="12"/>
      <c r="M19" s="12"/>
      <c r="N19" s="5"/>
      <c r="O19" s="5"/>
      <c r="P19" s="5"/>
      <c r="Q19" s="5"/>
      <c r="R19" s="5"/>
    </row>
    <row r="20" spans="1:18" x14ac:dyDescent="0.3">
      <c r="A20" s="1">
        <v>46244</v>
      </c>
      <c r="B20" t="s">
        <v>16</v>
      </c>
      <c r="C20" t="s">
        <v>20</v>
      </c>
      <c r="D20" t="s">
        <v>8</v>
      </c>
      <c r="E20">
        <v>50000</v>
      </c>
      <c r="F20">
        <v>120000</v>
      </c>
      <c r="G20" t="s">
        <v>4</v>
      </c>
      <c r="H20" s="6" t="s">
        <v>26</v>
      </c>
      <c r="J20" s="12"/>
      <c r="K20" s="12"/>
      <c r="L20" s="12"/>
      <c r="M20" s="12"/>
      <c r="N20" s="5"/>
      <c r="O20" s="5"/>
      <c r="P20" s="5"/>
      <c r="Q20" s="5"/>
      <c r="R20" s="5"/>
    </row>
    <row r="21" spans="1:18" x14ac:dyDescent="0.3">
      <c r="A21" s="1">
        <v>46197</v>
      </c>
      <c r="B21" t="s">
        <v>19</v>
      </c>
      <c r="C21" t="s">
        <v>17</v>
      </c>
      <c r="D21" t="s">
        <v>5</v>
      </c>
      <c r="E21">
        <v>5000</v>
      </c>
      <c r="F21">
        <v>8000</v>
      </c>
      <c r="G21" t="s">
        <v>6</v>
      </c>
      <c r="H21" s="6" t="s">
        <v>25</v>
      </c>
      <c r="J21" s="12"/>
      <c r="K21" s="12"/>
      <c r="L21" s="12"/>
      <c r="M21" s="12"/>
      <c r="N21" s="5"/>
      <c r="O21" s="5"/>
      <c r="P21" s="5"/>
      <c r="Q21" s="5"/>
      <c r="R21" s="5"/>
    </row>
    <row r="22" spans="1:18" x14ac:dyDescent="0.3">
      <c r="A22" s="1">
        <v>46068</v>
      </c>
      <c r="B22" t="s">
        <v>14</v>
      </c>
      <c r="C22" t="s">
        <v>17</v>
      </c>
      <c r="D22" t="s">
        <v>5</v>
      </c>
      <c r="E22">
        <v>4000</v>
      </c>
      <c r="F22">
        <v>8000</v>
      </c>
      <c r="G22" t="s">
        <v>6</v>
      </c>
      <c r="H22" s="6" t="s">
        <v>25</v>
      </c>
      <c r="J22" s="12"/>
      <c r="K22" s="12"/>
      <c r="L22" s="12"/>
      <c r="M22" s="12"/>
      <c r="N22" s="5"/>
      <c r="O22" s="5"/>
      <c r="P22" s="5"/>
      <c r="Q22" s="5"/>
      <c r="R22" s="5"/>
    </row>
    <row r="23" spans="1:18" x14ac:dyDescent="0.3">
      <c r="A23" s="1">
        <v>46147</v>
      </c>
      <c r="B23" t="s">
        <v>16</v>
      </c>
      <c r="C23" t="s">
        <v>17</v>
      </c>
      <c r="D23" t="s">
        <v>7</v>
      </c>
      <c r="E23">
        <v>20000</v>
      </c>
      <c r="F23">
        <v>15000</v>
      </c>
      <c r="G23" t="s">
        <v>6</v>
      </c>
      <c r="H23" s="6" t="s">
        <v>25</v>
      </c>
      <c r="J23" s="5"/>
      <c r="K23" s="5"/>
      <c r="L23" s="5"/>
      <c r="M23" s="5"/>
      <c r="N23" s="5"/>
      <c r="O23" s="5"/>
      <c r="P23" s="5"/>
      <c r="Q23" s="5"/>
      <c r="R23" s="5"/>
    </row>
    <row r="24" spans="1:18" x14ac:dyDescent="0.3">
      <c r="A24" s="1">
        <v>46179</v>
      </c>
      <c r="B24" t="s">
        <v>16</v>
      </c>
      <c r="C24" t="s">
        <v>20</v>
      </c>
      <c r="D24" t="s">
        <v>5</v>
      </c>
      <c r="E24">
        <v>350000</v>
      </c>
      <c r="F24">
        <v>8000</v>
      </c>
      <c r="G24" t="s">
        <v>6</v>
      </c>
      <c r="H24" s="6" t="s">
        <v>26</v>
      </c>
      <c r="J24" s="5"/>
      <c r="K24" s="5"/>
      <c r="L24" s="5"/>
      <c r="M24" s="5"/>
      <c r="N24" s="5"/>
      <c r="O24" s="5"/>
      <c r="P24" s="5"/>
      <c r="Q24" s="5"/>
      <c r="R24" s="5"/>
    </row>
    <row r="25" spans="1:18" x14ac:dyDescent="0.3">
      <c r="A25" s="1">
        <v>46181</v>
      </c>
      <c r="B25" t="s">
        <v>16</v>
      </c>
      <c r="C25" t="s">
        <v>18</v>
      </c>
      <c r="D25" t="s">
        <v>8</v>
      </c>
      <c r="E25">
        <v>350000</v>
      </c>
      <c r="F25">
        <v>120000</v>
      </c>
      <c r="G25" t="s">
        <v>4</v>
      </c>
      <c r="H25" s="6" t="s">
        <v>26</v>
      </c>
      <c r="J25" s="5"/>
      <c r="K25" s="5"/>
      <c r="L25" s="5"/>
      <c r="M25" s="5"/>
      <c r="N25" s="5"/>
      <c r="O25" s="5"/>
      <c r="P25" s="5"/>
      <c r="Q25" s="5"/>
      <c r="R25" s="5"/>
    </row>
    <row r="26" spans="1:18" x14ac:dyDescent="0.3">
      <c r="A26" s="1">
        <v>46123</v>
      </c>
      <c r="B26" t="s">
        <v>19</v>
      </c>
      <c r="C26" t="s">
        <v>15</v>
      </c>
      <c r="D26" t="s">
        <v>8</v>
      </c>
      <c r="E26">
        <v>5000</v>
      </c>
      <c r="F26">
        <v>120000</v>
      </c>
      <c r="G26" t="s">
        <v>4</v>
      </c>
      <c r="H26" s="6" t="s">
        <v>25</v>
      </c>
      <c r="J26" s="5"/>
      <c r="K26" s="5"/>
      <c r="L26" s="5"/>
      <c r="M26" s="5"/>
      <c r="N26" s="5"/>
      <c r="O26" s="5"/>
      <c r="P26" s="5"/>
      <c r="Q26" s="5"/>
      <c r="R26" s="5"/>
    </row>
    <row r="27" spans="1:18" x14ac:dyDescent="0.3">
      <c r="A27" s="1">
        <v>46146</v>
      </c>
      <c r="B27" t="s">
        <v>16</v>
      </c>
      <c r="C27" t="s">
        <v>15</v>
      </c>
      <c r="D27" t="s">
        <v>3</v>
      </c>
      <c r="E27">
        <v>15000</v>
      </c>
      <c r="F27">
        <v>350000</v>
      </c>
      <c r="G27" t="s">
        <v>4</v>
      </c>
      <c r="H27" s="6" t="s">
        <v>25</v>
      </c>
      <c r="J27" s="5"/>
      <c r="K27" s="5"/>
      <c r="L27" s="5"/>
      <c r="M27" s="5"/>
      <c r="N27" s="5"/>
      <c r="O27" s="5"/>
      <c r="P27" s="5"/>
      <c r="Q27" s="5"/>
      <c r="R27" s="5"/>
    </row>
    <row r="28" spans="1:18" x14ac:dyDescent="0.3">
      <c r="A28" s="1">
        <v>46040</v>
      </c>
      <c r="B28" t="s">
        <v>14</v>
      </c>
      <c r="C28" t="s">
        <v>15</v>
      </c>
      <c r="D28" t="s">
        <v>5</v>
      </c>
      <c r="E28">
        <v>5000</v>
      </c>
      <c r="F28">
        <v>8000</v>
      </c>
      <c r="G28" t="s">
        <v>6</v>
      </c>
      <c r="H28" s="6" t="s">
        <v>25</v>
      </c>
      <c r="J28" s="5"/>
      <c r="K28" s="5"/>
      <c r="L28" s="5"/>
      <c r="M28" s="5"/>
      <c r="N28" s="5"/>
      <c r="O28" s="5"/>
      <c r="P28" s="5"/>
      <c r="Q28" s="5"/>
      <c r="R28" s="5"/>
    </row>
    <row r="29" spans="1:18" x14ac:dyDescent="0.3">
      <c r="A29" s="1">
        <v>46110</v>
      </c>
      <c r="B29" t="s">
        <v>16</v>
      </c>
      <c r="C29" t="s">
        <v>18</v>
      </c>
      <c r="D29" t="s">
        <v>3</v>
      </c>
      <c r="E29">
        <v>4000</v>
      </c>
      <c r="F29">
        <v>350000</v>
      </c>
      <c r="G29" t="s">
        <v>4</v>
      </c>
      <c r="H29" s="6" t="s">
        <v>25</v>
      </c>
      <c r="J29" s="5"/>
      <c r="K29" s="5"/>
      <c r="L29" s="5"/>
      <c r="M29" s="5"/>
      <c r="N29" s="5"/>
      <c r="O29" s="5"/>
      <c r="P29" s="5"/>
      <c r="Q29" s="5"/>
      <c r="R29" s="5"/>
    </row>
    <row r="30" spans="1:18" x14ac:dyDescent="0.3">
      <c r="A30" s="1">
        <v>46168</v>
      </c>
      <c r="B30" t="s">
        <v>14</v>
      </c>
      <c r="C30" t="s">
        <v>18</v>
      </c>
      <c r="D30" t="s">
        <v>7</v>
      </c>
      <c r="E30">
        <v>4000</v>
      </c>
      <c r="F30">
        <v>15000</v>
      </c>
      <c r="G30" t="s">
        <v>6</v>
      </c>
      <c r="H30" s="6" t="s">
        <v>25</v>
      </c>
      <c r="J30" s="5"/>
      <c r="K30" s="5"/>
      <c r="L30" s="5"/>
      <c r="M30" s="5"/>
      <c r="N30" s="5"/>
      <c r="O30" s="5"/>
      <c r="P30" s="5"/>
      <c r="Q30" s="5"/>
      <c r="R30" s="5"/>
    </row>
    <row r="31" spans="1:18" x14ac:dyDescent="0.3">
      <c r="A31" s="1">
        <v>46041</v>
      </c>
      <c r="B31" t="s">
        <v>14</v>
      </c>
      <c r="C31" t="s">
        <v>15</v>
      </c>
      <c r="D31" t="s">
        <v>5</v>
      </c>
      <c r="E31">
        <v>20000</v>
      </c>
      <c r="F31">
        <v>8000</v>
      </c>
      <c r="G31" t="s">
        <v>6</v>
      </c>
      <c r="H31" s="6" t="s">
        <v>25</v>
      </c>
    </row>
    <row r="32" spans="1:18" x14ac:dyDescent="0.3">
      <c r="A32" s="1">
        <v>46111</v>
      </c>
      <c r="B32" t="s">
        <v>16</v>
      </c>
      <c r="C32" t="s">
        <v>20</v>
      </c>
      <c r="D32" t="s">
        <v>8</v>
      </c>
      <c r="E32">
        <v>5000</v>
      </c>
      <c r="F32">
        <v>120000</v>
      </c>
      <c r="G32" t="s">
        <v>4</v>
      </c>
      <c r="H32" s="6" t="s">
        <v>25</v>
      </c>
    </row>
    <row r="33" spans="1:8" x14ac:dyDescent="0.3">
      <c r="A33" s="1">
        <v>46052</v>
      </c>
      <c r="B33" t="s">
        <v>19</v>
      </c>
      <c r="C33" t="s">
        <v>15</v>
      </c>
      <c r="D33" t="s">
        <v>8</v>
      </c>
      <c r="E33">
        <v>120000</v>
      </c>
      <c r="F33">
        <v>120000</v>
      </c>
      <c r="G33" t="s">
        <v>4</v>
      </c>
      <c r="H33" s="6" t="s">
        <v>26</v>
      </c>
    </row>
    <row r="34" spans="1:8" x14ac:dyDescent="0.3">
      <c r="A34" s="1">
        <v>46102</v>
      </c>
      <c r="B34" t="s">
        <v>14</v>
      </c>
      <c r="C34" t="s">
        <v>17</v>
      </c>
      <c r="D34" t="s">
        <v>3</v>
      </c>
      <c r="E34">
        <v>50000</v>
      </c>
      <c r="F34">
        <v>350000</v>
      </c>
      <c r="G34" t="s">
        <v>4</v>
      </c>
      <c r="H34" s="6" t="s">
        <v>26</v>
      </c>
    </row>
    <row r="35" spans="1:8" x14ac:dyDescent="0.3">
      <c r="A35" s="1">
        <v>46212</v>
      </c>
      <c r="B35" t="s">
        <v>19</v>
      </c>
      <c r="C35" t="s">
        <v>15</v>
      </c>
      <c r="D35" t="s">
        <v>5</v>
      </c>
      <c r="E35">
        <v>350000</v>
      </c>
      <c r="F35">
        <v>8000</v>
      </c>
      <c r="G35" t="s">
        <v>6</v>
      </c>
      <c r="H35" s="6" t="s">
        <v>26</v>
      </c>
    </row>
    <row r="36" spans="1:8" x14ac:dyDescent="0.3">
      <c r="A36" s="1">
        <v>46028</v>
      </c>
      <c r="B36" t="s">
        <v>14</v>
      </c>
      <c r="C36" t="s">
        <v>20</v>
      </c>
      <c r="D36" t="s">
        <v>5</v>
      </c>
      <c r="E36">
        <v>350000</v>
      </c>
      <c r="F36">
        <v>8000</v>
      </c>
      <c r="G36" t="s">
        <v>6</v>
      </c>
      <c r="H36" s="6" t="s">
        <v>26</v>
      </c>
    </row>
    <row r="37" spans="1:8" x14ac:dyDescent="0.3">
      <c r="A37" s="1">
        <v>46257</v>
      </c>
      <c r="B37" t="s">
        <v>14</v>
      </c>
      <c r="C37" t="s">
        <v>20</v>
      </c>
      <c r="D37" t="s">
        <v>3</v>
      </c>
      <c r="E37">
        <v>20000</v>
      </c>
      <c r="F37">
        <v>350000</v>
      </c>
      <c r="G37" t="s">
        <v>4</v>
      </c>
      <c r="H37" s="6" t="s">
        <v>25</v>
      </c>
    </row>
    <row r="38" spans="1:8" x14ac:dyDescent="0.3">
      <c r="A38" s="1">
        <v>46155</v>
      </c>
      <c r="B38" t="s">
        <v>19</v>
      </c>
      <c r="C38" t="s">
        <v>17</v>
      </c>
      <c r="D38" t="s">
        <v>7</v>
      </c>
      <c r="E38">
        <v>15000</v>
      </c>
      <c r="F38">
        <v>15000</v>
      </c>
      <c r="G38" t="s">
        <v>6</v>
      </c>
      <c r="H38" s="6" t="s">
        <v>25</v>
      </c>
    </row>
    <row r="39" spans="1:8" x14ac:dyDescent="0.3">
      <c r="A39" s="1">
        <v>46159</v>
      </c>
      <c r="B39" t="s">
        <v>16</v>
      </c>
      <c r="C39" t="s">
        <v>20</v>
      </c>
      <c r="D39" t="s">
        <v>5</v>
      </c>
      <c r="E39">
        <v>15000</v>
      </c>
      <c r="F39">
        <v>8000</v>
      </c>
      <c r="G39" t="s">
        <v>6</v>
      </c>
      <c r="H39" s="6" t="s">
        <v>25</v>
      </c>
    </row>
    <row r="40" spans="1:8" x14ac:dyDescent="0.3">
      <c r="A40" s="1">
        <v>46229</v>
      </c>
      <c r="B40" t="s">
        <v>14</v>
      </c>
      <c r="C40" t="s">
        <v>15</v>
      </c>
      <c r="D40" t="s">
        <v>5</v>
      </c>
      <c r="E40">
        <v>15000</v>
      </c>
      <c r="F40">
        <v>8000</v>
      </c>
      <c r="G40" t="s">
        <v>6</v>
      </c>
      <c r="H40" s="6" t="s">
        <v>25</v>
      </c>
    </row>
    <row r="41" spans="1:8" x14ac:dyDescent="0.3">
      <c r="A41" s="1">
        <v>46155</v>
      </c>
      <c r="B41" t="s">
        <v>19</v>
      </c>
      <c r="C41" t="s">
        <v>20</v>
      </c>
      <c r="D41" t="s">
        <v>3</v>
      </c>
      <c r="E41">
        <v>4000</v>
      </c>
      <c r="F41">
        <v>350000</v>
      </c>
      <c r="G41" t="s">
        <v>4</v>
      </c>
      <c r="H41" s="6" t="s">
        <v>25</v>
      </c>
    </row>
    <row r="42" spans="1:8" x14ac:dyDescent="0.3">
      <c r="A42" s="1">
        <v>46225</v>
      </c>
      <c r="B42" t="s">
        <v>19</v>
      </c>
      <c r="C42" t="s">
        <v>15</v>
      </c>
      <c r="D42" t="s">
        <v>7</v>
      </c>
      <c r="E42">
        <v>15000</v>
      </c>
      <c r="F42">
        <v>15000</v>
      </c>
      <c r="G42" t="s">
        <v>6</v>
      </c>
      <c r="H42" s="6" t="s">
        <v>25</v>
      </c>
    </row>
    <row r="43" spans="1:8" x14ac:dyDescent="0.3">
      <c r="A43" s="1">
        <v>46200</v>
      </c>
      <c r="B43" t="s">
        <v>16</v>
      </c>
      <c r="C43" t="s">
        <v>20</v>
      </c>
      <c r="D43" t="s">
        <v>8</v>
      </c>
      <c r="E43">
        <v>50000</v>
      </c>
      <c r="F43">
        <v>120000</v>
      </c>
      <c r="G43" t="s">
        <v>4</v>
      </c>
      <c r="H43" s="6" t="s">
        <v>26</v>
      </c>
    </row>
    <row r="44" spans="1:8" x14ac:dyDescent="0.3">
      <c r="A44" s="1">
        <v>46116</v>
      </c>
      <c r="B44" t="s">
        <v>14</v>
      </c>
      <c r="C44" t="s">
        <v>17</v>
      </c>
      <c r="D44" t="s">
        <v>3</v>
      </c>
      <c r="E44">
        <v>15000</v>
      </c>
      <c r="F44">
        <v>350000</v>
      </c>
      <c r="G44" t="s">
        <v>4</v>
      </c>
      <c r="H44" s="6" t="s">
        <v>25</v>
      </c>
    </row>
    <row r="45" spans="1:8" x14ac:dyDescent="0.3">
      <c r="A45" s="1">
        <v>46143</v>
      </c>
      <c r="B45" t="s">
        <v>14</v>
      </c>
      <c r="C45" t="s">
        <v>20</v>
      </c>
      <c r="D45" t="s">
        <v>5</v>
      </c>
      <c r="E45">
        <v>120000</v>
      </c>
      <c r="F45">
        <v>8000</v>
      </c>
      <c r="G45" t="s">
        <v>6</v>
      </c>
      <c r="H45" s="6" t="s">
        <v>26</v>
      </c>
    </row>
    <row r="46" spans="1:8" x14ac:dyDescent="0.3">
      <c r="A46" s="1">
        <v>46182</v>
      </c>
      <c r="B46" t="s">
        <v>16</v>
      </c>
      <c r="C46" t="s">
        <v>18</v>
      </c>
      <c r="D46" t="s">
        <v>8</v>
      </c>
      <c r="E46">
        <v>50000</v>
      </c>
      <c r="F46">
        <v>120000</v>
      </c>
      <c r="G46" t="s">
        <v>4</v>
      </c>
      <c r="H46" s="6" t="s">
        <v>26</v>
      </c>
    </row>
    <row r="47" spans="1:8" x14ac:dyDescent="0.3">
      <c r="A47" s="1">
        <v>46227</v>
      </c>
      <c r="B47" t="s">
        <v>16</v>
      </c>
      <c r="C47" t="s">
        <v>18</v>
      </c>
      <c r="D47" t="s">
        <v>3</v>
      </c>
      <c r="E47">
        <v>70000</v>
      </c>
      <c r="F47">
        <v>350000</v>
      </c>
      <c r="G47" t="s">
        <v>4</v>
      </c>
      <c r="H47" s="6" t="s">
        <v>26</v>
      </c>
    </row>
    <row r="48" spans="1:8" x14ac:dyDescent="0.3">
      <c r="A48" s="1">
        <v>46223</v>
      </c>
      <c r="B48" t="s">
        <v>16</v>
      </c>
      <c r="C48" t="s">
        <v>17</v>
      </c>
      <c r="D48" t="s">
        <v>8</v>
      </c>
      <c r="E48">
        <v>8000</v>
      </c>
      <c r="F48">
        <v>120000</v>
      </c>
      <c r="G48" t="s">
        <v>4</v>
      </c>
      <c r="H48" s="6" t="s">
        <v>25</v>
      </c>
    </row>
    <row r="49" spans="1:17" x14ac:dyDescent="0.3">
      <c r="A49" s="1">
        <v>46134</v>
      </c>
      <c r="B49" t="s">
        <v>16</v>
      </c>
      <c r="C49" t="s">
        <v>20</v>
      </c>
      <c r="D49" t="s">
        <v>3</v>
      </c>
      <c r="E49">
        <v>70000</v>
      </c>
      <c r="F49">
        <v>350000</v>
      </c>
      <c r="G49" t="s">
        <v>4</v>
      </c>
      <c r="H49" s="6" t="s">
        <v>26</v>
      </c>
    </row>
    <row r="50" spans="1:17" x14ac:dyDescent="0.3">
      <c r="A50" s="1">
        <v>46141</v>
      </c>
      <c r="B50" t="s">
        <v>19</v>
      </c>
      <c r="C50" t="s">
        <v>18</v>
      </c>
      <c r="D50" t="s">
        <v>5</v>
      </c>
      <c r="E50">
        <v>8000</v>
      </c>
      <c r="F50">
        <v>8000</v>
      </c>
      <c r="G50" t="s">
        <v>6</v>
      </c>
      <c r="H50" s="6" t="s">
        <v>25</v>
      </c>
      <c r="J50" s="11" t="s">
        <v>29</v>
      </c>
      <c r="K50" s="11"/>
      <c r="L50" s="11"/>
      <c r="M50" s="11"/>
      <c r="N50" s="11"/>
      <c r="O50" s="11"/>
      <c r="P50" s="11"/>
      <c r="Q50" s="11"/>
    </row>
    <row r="51" spans="1:17" x14ac:dyDescent="0.3">
      <c r="A51" s="3">
        <v>46059</v>
      </c>
      <c r="B51" s="4" t="s">
        <v>19</v>
      </c>
      <c r="C51" s="4" t="s">
        <v>15</v>
      </c>
      <c r="D51" s="4" t="s">
        <v>7</v>
      </c>
      <c r="E51" s="4">
        <v>120000</v>
      </c>
      <c r="F51" s="4"/>
      <c r="G51" s="4"/>
      <c r="H51" s="6" t="s">
        <v>26</v>
      </c>
      <c r="J51" s="11"/>
      <c r="K51" s="11"/>
      <c r="L51" s="11"/>
      <c r="M51" s="11"/>
      <c r="N51" s="11"/>
      <c r="O51" s="11"/>
      <c r="P51" s="11"/>
      <c r="Q51" s="11"/>
    </row>
    <row r="52" spans="1:17" x14ac:dyDescent="0.3">
      <c r="A52" s="3">
        <v>46080</v>
      </c>
      <c r="B52" s="4" t="s">
        <v>14</v>
      </c>
      <c r="C52" s="4" t="s">
        <v>15</v>
      </c>
      <c r="D52" s="4" t="s">
        <v>27</v>
      </c>
      <c r="E52" s="4">
        <v>8000</v>
      </c>
      <c r="F52" s="4"/>
      <c r="G52" s="4"/>
      <c r="H52" s="6" t="s">
        <v>25</v>
      </c>
      <c r="J52" s="11"/>
      <c r="K52" s="11"/>
      <c r="L52" s="11"/>
      <c r="M52" s="11"/>
      <c r="N52" s="11"/>
      <c r="O52" s="11"/>
      <c r="P52" s="11"/>
      <c r="Q52" s="11"/>
    </row>
    <row r="53" spans="1:17" x14ac:dyDescent="0.3">
      <c r="A53" s="3">
        <v>46070</v>
      </c>
      <c r="B53" s="4" t="s">
        <v>16</v>
      </c>
      <c r="C53" s="4" t="s">
        <v>17</v>
      </c>
      <c r="D53" s="4" t="s">
        <v>3</v>
      </c>
      <c r="E53" s="4">
        <v>4000</v>
      </c>
      <c r="F53" s="4"/>
      <c r="G53" s="4"/>
      <c r="H53" s="6" t="s">
        <v>25</v>
      </c>
      <c r="J53" s="11"/>
      <c r="K53" s="11"/>
      <c r="L53" s="11"/>
      <c r="M53" s="11"/>
      <c r="N53" s="11"/>
      <c r="O53" s="11"/>
      <c r="P53" s="11"/>
      <c r="Q53" s="11"/>
    </row>
    <row r="54" spans="1:17" x14ac:dyDescent="0.3">
      <c r="A54" s="3">
        <v>46065</v>
      </c>
      <c r="B54" s="4" t="s">
        <v>16</v>
      </c>
      <c r="C54" s="4" t="s">
        <v>15</v>
      </c>
      <c r="D54" s="4" t="s">
        <v>3</v>
      </c>
      <c r="E54" s="4">
        <v>8000</v>
      </c>
      <c r="F54" s="4"/>
      <c r="G54" s="4"/>
      <c r="H54" s="6" t="s">
        <v>25</v>
      </c>
      <c r="J54" s="11"/>
      <c r="K54" s="11"/>
      <c r="L54" s="11"/>
      <c r="M54" s="11"/>
      <c r="N54" s="11"/>
      <c r="O54" s="11"/>
      <c r="P54" s="11"/>
      <c r="Q54" s="11"/>
    </row>
    <row r="55" spans="1:17" x14ac:dyDescent="0.3">
      <c r="A55" s="3">
        <v>46079</v>
      </c>
      <c r="B55" s="4" t="s">
        <v>14</v>
      </c>
      <c r="C55" s="4" t="s">
        <v>17</v>
      </c>
      <c r="D55" s="4" t="s">
        <v>3</v>
      </c>
      <c r="E55" s="4">
        <v>70000</v>
      </c>
      <c r="F55" s="4"/>
      <c r="G55" s="4"/>
      <c r="H55" s="6" t="s">
        <v>26</v>
      </c>
      <c r="J55" s="11"/>
      <c r="K55" s="11"/>
      <c r="L55" s="11"/>
      <c r="M55" s="11"/>
      <c r="N55" s="11"/>
      <c r="O55" s="11"/>
      <c r="P55" s="11"/>
      <c r="Q55" s="11"/>
    </row>
    <row r="56" spans="1:17" x14ac:dyDescent="0.3">
      <c r="A56" s="3">
        <v>46077</v>
      </c>
      <c r="B56" s="4" t="s">
        <v>19</v>
      </c>
      <c r="C56" s="4" t="s">
        <v>15</v>
      </c>
      <c r="D56" s="4" t="s">
        <v>3</v>
      </c>
      <c r="E56" s="4">
        <v>50000</v>
      </c>
      <c r="F56" s="4"/>
      <c r="G56" s="4"/>
      <c r="H56" s="6" t="s">
        <v>26</v>
      </c>
      <c r="J56" s="11"/>
      <c r="K56" s="11"/>
      <c r="L56" s="11"/>
      <c r="M56" s="11"/>
      <c r="N56" s="11"/>
      <c r="O56" s="11"/>
      <c r="P56" s="11"/>
      <c r="Q56" s="11"/>
    </row>
    <row r="57" spans="1:17" x14ac:dyDescent="0.3">
      <c r="A57" s="3">
        <v>46071</v>
      </c>
      <c r="B57" s="4" t="s">
        <v>19</v>
      </c>
      <c r="C57" s="4" t="s">
        <v>18</v>
      </c>
      <c r="D57" s="4" t="s">
        <v>7</v>
      </c>
      <c r="E57" s="4">
        <v>4000</v>
      </c>
      <c r="F57" s="4"/>
      <c r="G57" s="4"/>
      <c r="H57" s="6" t="s">
        <v>25</v>
      </c>
      <c r="J57" s="11"/>
      <c r="K57" s="11"/>
      <c r="L57" s="11"/>
      <c r="M57" s="11"/>
      <c r="N57" s="11"/>
      <c r="O57" s="11"/>
      <c r="P57" s="11"/>
      <c r="Q57" s="11"/>
    </row>
    <row r="58" spans="1:17" x14ac:dyDescent="0.3">
      <c r="A58" s="3">
        <v>46058</v>
      </c>
      <c r="B58" s="4" t="s">
        <v>16</v>
      </c>
      <c r="C58" s="4" t="s">
        <v>18</v>
      </c>
      <c r="D58" s="4" t="s">
        <v>3</v>
      </c>
      <c r="E58" s="4">
        <v>4000</v>
      </c>
      <c r="F58" s="4"/>
      <c r="G58" s="4"/>
      <c r="H58" s="6" t="s">
        <v>25</v>
      </c>
      <c r="J58" s="11"/>
      <c r="K58" s="11"/>
      <c r="L58" s="11"/>
      <c r="M58" s="11"/>
      <c r="N58" s="11"/>
      <c r="O58" s="11"/>
      <c r="P58" s="11"/>
      <c r="Q58" s="11"/>
    </row>
    <row r="59" spans="1:17" x14ac:dyDescent="0.3">
      <c r="A59" s="3">
        <v>46068</v>
      </c>
      <c r="B59" s="4" t="s">
        <v>14</v>
      </c>
      <c r="C59" s="4" t="s">
        <v>20</v>
      </c>
      <c r="D59" s="4" t="s">
        <v>8</v>
      </c>
      <c r="E59" s="4">
        <v>120000</v>
      </c>
      <c r="F59" s="4"/>
      <c r="G59" s="4"/>
      <c r="H59" s="6" t="s">
        <v>26</v>
      </c>
    </row>
    <row r="60" spans="1:17" x14ac:dyDescent="0.3">
      <c r="A60" s="3">
        <v>46058</v>
      </c>
      <c r="B60" s="4" t="s">
        <v>14</v>
      </c>
      <c r="C60" s="4" t="s">
        <v>18</v>
      </c>
      <c r="D60" s="4" t="s">
        <v>8</v>
      </c>
      <c r="E60" s="4">
        <v>15000</v>
      </c>
      <c r="F60" s="4"/>
      <c r="G60" s="4"/>
      <c r="H60" s="6" t="s">
        <v>25</v>
      </c>
    </row>
    <row r="61" spans="1:17" x14ac:dyDescent="0.3">
      <c r="A61" s="3">
        <v>46056</v>
      </c>
      <c r="B61" s="4" t="s">
        <v>14</v>
      </c>
      <c r="C61" s="4" t="s">
        <v>17</v>
      </c>
      <c r="D61" s="4" t="s">
        <v>27</v>
      </c>
      <c r="E61" s="4">
        <v>5000</v>
      </c>
      <c r="F61" s="4"/>
      <c r="G61" s="4"/>
      <c r="H61" s="6" t="s">
        <v>25</v>
      </c>
    </row>
    <row r="62" spans="1:17" x14ac:dyDescent="0.3">
      <c r="A62" s="3">
        <v>46057</v>
      </c>
      <c r="B62" s="4" t="s">
        <v>16</v>
      </c>
      <c r="C62" s="4" t="s">
        <v>15</v>
      </c>
      <c r="D62" s="4" t="s">
        <v>27</v>
      </c>
      <c r="E62" s="4">
        <v>70000</v>
      </c>
      <c r="F62" s="4"/>
      <c r="G62" s="4"/>
      <c r="H62" s="6" t="s">
        <v>26</v>
      </c>
    </row>
    <row r="63" spans="1:17" x14ac:dyDescent="0.3">
      <c r="A63" s="3">
        <v>46060</v>
      </c>
      <c r="B63" s="4" t="s">
        <v>19</v>
      </c>
      <c r="C63" s="4" t="s">
        <v>17</v>
      </c>
      <c r="D63" s="4" t="s">
        <v>27</v>
      </c>
      <c r="E63" s="4">
        <v>70000</v>
      </c>
      <c r="F63" s="4"/>
      <c r="G63" s="4"/>
      <c r="H63" s="6" t="s">
        <v>26</v>
      </c>
    </row>
    <row r="64" spans="1:17" x14ac:dyDescent="0.3">
      <c r="A64" s="3">
        <v>46063</v>
      </c>
      <c r="B64" s="4" t="s">
        <v>19</v>
      </c>
      <c r="C64" s="4" t="s">
        <v>15</v>
      </c>
      <c r="D64" s="4" t="s">
        <v>27</v>
      </c>
      <c r="E64" s="4">
        <v>70000</v>
      </c>
      <c r="F64" s="4"/>
      <c r="G64" s="4"/>
      <c r="H64" s="6" t="s">
        <v>26</v>
      </c>
    </row>
    <row r="65" spans="1:8" x14ac:dyDescent="0.3">
      <c r="A65" s="3">
        <v>46064</v>
      </c>
      <c r="B65" s="4" t="s">
        <v>19</v>
      </c>
      <c r="C65" s="4" t="s">
        <v>15</v>
      </c>
      <c r="D65" s="4" t="s">
        <v>7</v>
      </c>
      <c r="E65" s="4">
        <v>4000</v>
      </c>
      <c r="F65" s="4"/>
      <c r="G65" s="4"/>
      <c r="H65" s="6" t="s">
        <v>25</v>
      </c>
    </row>
    <row r="66" spans="1:8" x14ac:dyDescent="0.3">
      <c r="A66" s="3">
        <v>46080</v>
      </c>
      <c r="B66" s="4" t="s">
        <v>14</v>
      </c>
      <c r="C66" s="4" t="s">
        <v>17</v>
      </c>
      <c r="D66" s="4" t="s">
        <v>8</v>
      </c>
      <c r="E66" s="4">
        <v>4000</v>
      </c>
      <c r="F66" s="4"/>
      <c r="G66" s="4"/>
      <c r="H66" s="6" t="s">
        <v>25</v>
      </c>
    </row>
    <row r="67" spans="1:8" x14ac:dyDescent="0.3">
      <c r="A67" s="3">
        <v>46069</v>
      </c>
      <c r="B67" s="4" t="s">
        <v>14</v>
      </c>
      <c r="C67" s="4" t="s">
        <v>17</v>
      </c>
      <c r="D67" s="4" t="s">
        <v>27</v>
      </c>
      <c r="E67" s="4">
        <v>50000</v>
      </c>
      <c r="F67" s="4"/>
      <c r="G67" s="4"/>
      <c r="H67" s="6" t="s">
        <v>26</v>
      </c>
    </row>
    <row r="68" spans="1:8" x14ac:dyDescent="0.3">
      <c r="A68" s="3">
        <v>46071</v>
      </c>
      <c r="B68" s="4" t="s">
        <v>16</v>
      </c>
      <c r="C68" s="4" t="s">
        <v>18</v>
      </c>
      <c r="D68" s="4" t="s">
        <v>5</v>
      </c>
      <c r="E68" s="4">
        <v>8000</v>
      </c>
      <c r="F68" s="4"/>
      <c r="G68" s="4"/>
      <c r="H68" s="6" t="s">
        <v>25</v>
      </c>
    </row>
    <row r="69" spans="1:8" x14ac:dyDescent="0.3">
      <c r="A69" s="3">
        <v>46074</v>
      </c>
      <c r="B69" s="4" t="s">
        <v>19</v>
      </c>
      <c r="C69" s="4" t="s">
        <v>20</v>
      </c>
      <c r="D69" s="4" t="s">
        <v>7</v>
      </c>
      <c r="E69" s="4">
        <v>20000</v>
      </c>
      <c r="F69" s="4"/>
      <c r="G69" s="4"/>
      <c r="H69" s="6" t="s">
        <v>25</v>
      </c>
    </row>
    <row r="70" spans="1:8" x14ac:dyDescent="0.3">
      <c r="A70" s="3">
        <v>46061</v>
      </c>
      <c r="B70" s="4" t="s">
        <v>14</v>
      </c>
      <c r="C70" s="4" t="s">
        <v>17</v>
      </c>
      <c r="D70" s="4" t="s">
        <v>3</v>
      </c>
      <c r="E70" s="4">
        <v>8000</v>
      </c>
      <c r="F70" s="4"/>
      <c r="G70" s="4"/>
      <c r="H70" s="6" t="s">
        <v>25</v>
      </c>
    </row>
  </sheetData>
  <mergeCells count="4">
    <mergeCell ref="J2:R12"/>
    <mergeCell ref="J14:R16"/>
    <mergeCell ref="J50:Q58"/>
    <mergeCell ref="J19:M22"/>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5D8B9-01E8-4E2D-B8EE-445F51E6822E}">
  <dimension ref="A1:C6"/>
  <sheetViews>
    <sheetView workbookViewId="0">
      <selection activeCell="C2" sqref="C2"/>
    </sheetView>
  </sheetViews>
  <sheetFormatPr baseColWidth="10" defaultRowHeight="14.4" x14ac:dyDescent="0.3"/>
  <cols>
    <col min="1" max="1" width="11" bestFit="1" customWidth="1"/>
    <col min="2" max="2" width="8.44140625" bestFit="1" customWidth="1"/>
    <col min="3" max="3" width="11.21875" bestFit="1" customWidth="1"/>
  </cols>
  <sheetData>
    <row r="1" spans="1:3" x14ac:dyDescent="0.3">
      <c r="A1" t="s">
        <v>0</v>
      </c>
      <c r="B1" t="s">
        <v>1</v>
      </c>
      <c r="C1" t="s">
        <v>2</v>
      </c>
    </row>
    <row r="2" spans="1:3" x14ac:dyDescent="0.3">
      <c r="A2" t="s">
        <v>3</v>
      </c>
      <c r="B2">
        <v>350000</v>
      </c>
      <c r="C2" t="s">
        <v>4</v>
      </c>
    </row>
    <row r="3" spans="1:3" x14ac:dyDescent="0.3">
      <c r="A3" t="s">
        <v>5</v>
      </c>
      <c r="B3">
        <v>8000</v>
      </c>
      <c r="C3" t="s">
        <v>6</v>
      </c>
    </row>
    <row r="4" spans="1:3" x14ac:dyDescent="0.3">
      <c r="A4" t="s">
        <v>7</v>
      </c>
      <c r="B4">
        <v>15000</v>
      </c>
      <c r="C4" t="s">
        <v>6</v>
      </c>
    </row>
    <row r="5" spans="1:3" x14ac:dyDescent="0.3">
      <c r="A5" t="s">
        <v>8</v>
      </c>
      <c r="B5">
        <v>120000</v>
      </c>
      <c r="C5" t="s">
        <v>4</v>
      </c>
    </row>
    <row r="6" spans="1:3" x14ac:dyDescent="0.3">
      <c r="A6" t="s">
        <v>9</v>
      </c>
      <c r="B6">
        <v>180000</v>
      </c>
      <c r="C6" t="s">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E1734-74DA-4FDF-8402-CE6D8887C9B2}">
  <dimension ref="A1:K9"/>
  <sheetViews>
    <sheetView workbookViewId="0">
      <selection activeCell="E13" sqref="E13"/>
    </sheetView>
  </sheetViews>
  <sheetFormatPr baseColWidth="10" defaultRowHeight="14.4" x14ac:dyDescent="0.3"/>
  <cols>
    <col min="2" max="2" width="19.44140625" bestFit="1" customWidth="1"/>
  </cols>
  <sheetData>
    <row r="1" spans="1:11" x14ac:dyDescent="0.3">
      <c r="A1" t="s">
        <v>12</v>
      </c>
      <c r="B1" t="s">
        <v>28</v>
      </c>
    </row>
    <row r="2" spans="1:11" x14ac:dyDescent="0.3">
      <c r="A2" t="s">
        <v>15</v>
      </c>
      <c r="B2">
        <v>21</v>
      </c>
      <c r="D2" s="13" t="s">
        <v>30</v>
      </c>
      <c r="E2" s="13"/>
      <c r="F2" s="13"/>
      <c r="G2" s="13"/>
      <c r="H2" s="13"/>
      <c r="I2" s="13"/>
      <c r="J2" s="13"/>
      <c r="K2" s="13"/>
    </row>
    <row r="3" spans="1:11" x14ac:dyDescent="0.3">
      <c r="A3" t="s">
        <v>17</v>
      </c>
      <c r="B3">
        <v>18</v>
      </c>
      <c r="D3" s="13"/>
      <c r="E3" s="13"/>
      <c r="F3" s="13"/>
      <c r="G3" s="13"/>
      <c r="H3" s="13"/>
      <c r="I3" s="13"/>
      <c r="J3" s="13"/>
      <c r="K3" s="13"/>
    </row>
    <row r="4" spans="1:11" x14ac:dyDescent="0.3">
      <c r="A4" t="s">
        <v>18</v>
      </c>
      <c r="B4">
        <v>15</v>
      </c>
      <c r="D4" s="13"/>
      <c r="E4" s="13"/>
      <c r="F4" s="13"/>
      <c r="G4" s="13"/>
      <c r="H4" s="13"/>
      <c r="I4" s="13"/>
      <c r="J4" s="13"/>
      <c r="K4" s="13"/>
    </row>
    <row r="5" spans="1:11" x14ac:dyDescent="0.3">
      <c r="A5" t="s">
        <v>20</v>
      </c>
      <c r="B5">
        <v>15</v>
      </c>
      <c r="D5" s="13"/>
      <c r="E5" s="13"/>
      <c r="F5" s="13"/>
      <c r="G5" s="13"/>
      <c r="H5" s="13"/>
      <c r="I5" s="13"/>
      <c r="J5" s="13"/>
      <c r="K5" s="13"/>
    </row>
    <row r="6" spans="1:11" x14ac:dyDescent="0.3">
      <c r="D6" s="13"/>
      <c r="E6" s="13"/>
      <c r="F6" s="13"/>
      <c r="G6" s="13"/>
      <c r="H6" s="13"/>
      <c r="I6" s="13"/>
      <c r="J6" s="13"/>
      <c r="K6" s="13"/>
    </row>
    <row r="7" spans="1:11" x14ac:dyDescent="0.3">
      <c r="D7" s="13"/>
      <c r="E7" s="13"/>
      <c r="F7" s="13"/>
      <c r="G7" s="13"/>
      <c r="H7" s="13"/>
      <c r="I7" s="13"/>
      <c r="J7" s="13"/>
      <c r="K7" s="13"/>
    </row>
    <row r="8" spans="1:11" x14ac:dyDescent="0.3">
      <c r="D8" s="13"/>
      <c r="E8" s="13"/>
      <c r="F8" s="13"/>
      <c r="G8" s="13"/>
      <c r="H8" s="13"/>
      <c r="I8" s="13"/>
      <c r="J8" s="13"/>
      <c r="K8" s="13"/>
    </row>
    <row r="9" spans="1:11" x14ac:dyDescent="0.3">
      <c r="D9" s="13"/>
      <c r="E9" s="13"/>
      <c r="F9" s="13"/>
      <c r="G9" s="13"/>
      <c r="H9" s="13"/>
      <c r="I9" s="13"/>
      <c r="J9" s="13"/>
      <c r="K9" s="13"/>
    </row>
  </sheetData>
  <mergeCells count="1">
    <mergeCell ref="D2:K9"/>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2D326-5DB8-486F-9184-6C108EAA786A}">
  <dimension ref="A1"/>
  <sheetViews>
    <sheetView workbookViewId="0"/>
  </sheetViews>
  <sheetFormatPr baseColWidth="10" defaultRowHeight="14.4" x14ac:dyDescent="0.3"/>
  <sheetData>
    <row r="1" spans="1:1" x14ac:dyDescent="0.3">
      <c r="A1" t="s">
        <v>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E1817-40D5-4DFB-ACD5-49313F4E48A1}">
  <dimension ref="A1:L25"/>
  <sheetViews>
    <sheetView tabSelected="1" topLeftCell="F1" workbookViewId="0">
      <selection activeCell="M22" sqref="M22"/>
    </sheetView>
  </sheetViews>
  <sheetFormatPr baseColWidth="10" defaultRowHeight="14.4" x14ac:dyDescent="0.3"/>
  <cols>
    <col min="1" max="1" width="9.5546875" bestFit="1" customWidth="1"/>
    <col min="2" max="2" width="9" bestFit="1" customWidth="1"/>
    <col min="4" max="4" width="11" bestFit="1" customWidth="1"/>
    <col min="5" max="5" width="9" bestFit="1" customWidth="1"/>
    <col min="7" max="7" width="16.5546875" bestFit="1" customWidth="1"/>
    <col min="8" max="8" width="21.44140625" bestFit="1" customWidth="1"/>
    <col min="9" max="10" width="7" bestFit="1" customWidth="1"/>
    <col min="11" max="11" width="6" bestFit="1" customWidth="1"/>
    <col min="12" max="12" width="11.88671875" bestFit="1" customWidth="1"/>
  </cols>
  <sheetData>
    <row r="1" spans="1:12" x14ac:dyDescent="0.3">
      <c r="A1" t="s">
        <v>10</v>
      </c>
      <c r="B1" t="s">
        <v>11</v>
      </c>
      <c r="C1" t="s">
        <v>12</v>
      </c>
      <c r="D1" t="s">
        <v>0</v>
      </c>
      <c r="E1" t="s">
        <v>13</v>
      </c>
    </row>
    <row r="2" spans="1:12" x14ac:dyDescent="0.3">
      <c r="A2" s="1">
        <v>46059</v>
      </c>
      <c r="B2" t="s">
        <v>19</v>
      </c>
      <c r="C2" t="s">
        <v>15</v>
      </c>
      <c r="D2" t="s">
        <v>7</v>
      </c>
      <c r="E2">
        <v>120000</v>
      </c>
    </row>
    <row r="3" spans="1:12" x14ac:dyDescent="0.3">
      <c r="A3" s="1">
        <v>46080</v>
      </c>
      <c r="B3" t="s">
        <v>14</v>
      </c>
      <c r="C3" t="s">
        <v>15</v>
      </c>
      <c r="D3" t="s">
        <v>27</v>
      </c>
      <c r="E3">
        <v>8000</v>
      </c>
      <c r="G3" s="7" t="s">
        <v>35</v>
      </c>
      <c r="H3" s="7" t="s">
        <v>36</v>
      </c>
    </row>
    <row r="4" spans="1:12" x14ac:dyDescent="0.3">
      <c r="A4" s="1">
        <v>46070</v>
      </c>
      <c r="B4" t="s">
        <v>16</v>
      </c>
      <c r="C4" t="s">
        <v>17</v>
      </c>
      <c r="D4" t="s">
        <v>3</v>
      </c>
      <c r="E4">
        <v>4000</v>
      </c>
      <c r="G4" s="7" t="s">
        <v>32</v>
      </c>
      <c r="H4" t="s">
        <v>17</v>
      </c>
      <c r="I4" t="s">
        <v>15</v>
      </c>
      <c r="J4" t="s">
        <v>20</v>
      </c>
      <c r="K4" t="s">
        <v>18</v>
      </c>
      <c r="L4" t="s">
        <v>33</v>
      </c>
    </row>
    <row r="5" spans="1:12" x14ac:dyDescent="0.3">
      <c r="A5" s="1">
        <v>46065</v>
      </c>
      <c r="B5" t="s">
        <v>16</v>
      </c>
      <c r="C5" t="s">
        <v>15</v>
      </c>
      <c r="D5" t="s">
        <v>3</v>
      </c>
      <c r="E5">
        <v>8000</v>
      </c>
      <c r="G5" s="8" t="s">
        <v>6</v>
      </c>
      <c r="H5" s="14"/>
      <c r="I5" s="14">
        <v>124000</v>
      </c>
      <c r="J5" s="14">
        <v>20000</v>
      </c>
      <c r="K5" s="14">
        <v>12000</v>
      </c>
      <c r="L5" s="14">
        <v>156000</v>
      </c>
    </row>
    <row r="6" spans="1:12" x14ac:dyDescent="0.3">
      <c r="A6" s="1">
        <v>46079</v>
      </c>
      <c r="B6" t="s">
        <v>14</v>
      </c>
      <c r="C6" t="s">
        <v>17</v>
      </c>
      <c r="D6" t="s">
        <v>3</v>
      </c>
      <c r="E6">
        <v>70000</v>
      </c>
      <c r="G6" s="8" t="s">
        <v>4</v>
      </c>
      <c r="H6" s="14">
        <v>86000</v>
      </c>
      <c r="I6" s="14">
        <v>58000</v>
      </c>
      <c r="J6" s="14">
        <v>120000</v>
      </c>
      <c r="K6" s="14">
        <v>19000</v>
      </c>
      <c r="L6" s="14">
        <v>283000</v>
      </c>
    </row>
    <row r="7" spans="1:12" x14ac:dyDescent="0.3">
      <c r="A7" s="1">
        <v>46077</v>
      </c>
      <c r="B7" t="s">
        <v>19</v>
      </c>
      <c r="C7" t="s">
        <v>15</v>
      </c>
      <c r="D7" t="s">
        <v>3</v>
      </c>
      <c r="E7">
        <v>50000</v>
      </c>
      <c r="G7" s="8" t="s">
        <v>34</v>
      </c>
      <c r="H7" s="14">
        <v>125000</v>
      </c>
      <c r="I7" s="14">
        <v>148000</v>
      </c>
      <c r="J7" s="14"/>
      <c r="K7" s="14"/>
      <c r="L7" s="14">
        <v>273000</v>
      </c>
    </row>
    <row r="8" spans="1:12" x14ac:dyDescent="0.3">
      <c r="A8" s="1">
        <v>46071</v>
      </c>
      <c r="B8" t="s">
        <v>19</v>
      </c>
      <c r="C8" t="s">
        <v>18</v>
      </c>
      <c r="D8" t="s">
        <v>7</v>
      </c>
      <c r="E8">
        <v>4000</v>
      </c>
      <c r="G8" s="8" t="s">
        <v>33</v>
      </c>
      <c r="H8" s="14">
        <v>211000</v>
      </c>
      <c r="I8" s="14">
        <v>330000</v>
      </c>
      <c r="J8" s="14">
        <v>140000</v>
      </c>
      <c r="K8" s="14">
        <v>31000</v>
      </c>
      <c r="L8" s="14">
        <v>712000</v>
      </c>
    </row>
    <row r="9" spans="1:12" x14ac:dyDescent="0.3">
      <c r="A9" s="1">
        <v>46058</v>
      </c>
      <c r="B9" t="s">
        <v>16</v>
      </c>
      <c r="C9" t="s">
        <v>18</v>
      </c>
      <c r="D9" t="s">
        <v>3</v>
      </c>
      <c r="E9">
        <v>4000</v>
      </c>
    </row>
    <row r="10" spans="1:12" x14ac:dyDescent="0.3">
      <c r="A10" s="1">
        <v>46068</v>
      </c>
      <c r="B10" t="s">
        <v>14</v>
      </c>
      <c r="C10" t="s">
        <v>20</v>
      </c>
      <c r="D10" t="s">
        <v>8</v>
      </c>
      <c r="E10">
        <v>120000</v>
      </c>
    </row>
    <row r="11" spans="1:12" ht="14.4" customHeight="1" x14ac:dyDescent="0.3">
      <c r="A11" s="1">
        <v>46058</v>
      </c>
      <c r="B11" t="s">
        <v>14</v>
      </c>
      <c r="C11" t="s">
        <v>18</v>
      </c>
      <c r="D11" t="s">
        <v>8</v>
      </c>
      <c r="E11">
        <v>15000</v>
      </c>
      <c r="G11" s="15" t="s">
        <v>37</v>
      </c>
      <c r="H11" s="15"/>
      <c r="I11" s="15"/>
      <c r="J11" s="15"/>
      <c r="K11" s="15"/>
      <c r="L11" s="15"/>
    </row>
    <row r="12" spans="1:12" x14ac:dyDescent="0.3">
      <c r="A12" s="1">
        <v>46056</v>
      </c>
      <c r="B12" t="s">
        <v>14</v>
      </c>
      <c r="C12" t="s">
        <v>17</v>
      </c>
      <c r="D12" t="s">
        <v>27</v>
      </c>
      <c r="E12">
        <v>5000</v>
      </c>
      <c r="G12" s="15"/>
      <c r="H12" s="15"/>
      <c r="I12" s="15"/>
      <c r="J12" s="15"/>
      <c r="K12" s="15"/>
      <c r="L12" s="15"/>
    </row>
    <row r="13" spans="1:12" x14ac:dyDescent="0.3">
      <c r="A13" s="1">
        <v>46057</v>
      </c>
      <c r="B13" t="s">
        <v>16</v>
      </c>
      <c r="C13" t="s">
        <v>15</v>
      </c>
      <c r="D13" t="s">
        <v>27</v>
      </c>
      <c r="E13">
        <v>70000</v>
      </c>
      <c r="G13" s="15"/>
      <c r="H13" s="15"/>
      <c r="I13" s="15"/>
      <c r="J13" s="15"/>
      <c r="K13" s="15"/>
      <c r="L13" s="15"/>
    </row>
    <row r="14" spans="1:12" x14ac:dyDescent="0.3">
      <c r="A14" s="1">
        <v>46060</v>
      </c>
      <c r="B14" t="s">
        <v>19</v>
      </c>
      <c r="C14" t="s">
        <v>17</v>
      </c>
      <c r="D14" t="s">
        <v>27</v>
      </c>
      <c r="E14">
        <v>70000</v>
      </c>
      <c r="G14" s="15"/>
      <c r="H14" s="15"/>
      <c r="I14" s="15"/>
      <c r="J14" s="15"/>
      <c r="K14" s="15"/>
      <c r="L14" s="15"/>
    </row>
    <row r="15" spans="1:12" x14ac:dyDescent="0.3">
      <c r="A15" s="1">
        <v>46063</v>
      </c>
      <c r="B15" t="s">
        <v>19</v>
      </c>
      <c r="C15" t="s">
        <v>15</v>
      </c>
      <c r="D15" t="s">
        <v>27</v>
      </c>
      <c r="E15">
        <v>70000</v>
      </c>
      <c r="G15" s="15"/>
      <c r="H15" s="15"/>
      <c r="I15" s="15"/>
      <c r="J15" s="15"/>
      <c r="K15" s="15"/>
      <c r="L15" s="15"/>
    </row>
    <row r="16" spans="1:12" x14ac:dyDescent="0.3">
      <c r="A16" s="1">
        <v>46064</v>
      </c>
      <c r="B16" t="s">
        <v>19</v>
      </c>
      <c r="C16" t="s">
        <v>15</v>
      </c>
      <c r="D16" t="s">
        <v>7</v>
      </c>
      <c r="E16">
        <v>4000</v>
      </c>
      <c r="G16" s="15"/>
      <c r="H16" s="15"/>
      <c r="I16" s="15"/>
      <c r="J16" s="15"/>
      <c r="K16" s="15"/>
      <c r="L16" s="15"/>
    </row>
    <row r="17" spans="1:12" x14ac:dyDescent="0.3">
      <c r="A17" s="1">
        <v>46080</v>
      </c>
      <c r="B17" t="s">
        <v>14</v>
      </c>
      <c r="C17" t="s">
        <v>17</v>
      </c>
      <c r="D17" t="s">
        <v>8</v>
      </c>
      <c r="E17">
        <v>4000</v>
      </c>
      <c r="G17" s="15"/>
      <c r="H17" s="15"/>
      <c r="I17" s="15"/>
      <c r="J17" s="15"/>
      <c r="K17" s="15"/>
      <c r="L17" s="15"/>
    </row>
    <row r="18" spans="1:12" x14ac:dyDescent="0.3">
      <c r="A18" s="1">
        <v>46069</v>
      </c>
      <c r="B18" t="s">
        <v>14</v>
      </c>
      <c r="C18" t="s">
        <v>17</v>
      </c>
      <c r="D18" t="s">
        <v>27</v>
      </c>
      <c r="E18">
        <v>50000</v>
      </c>
      <c r="G18" s="15"/>
      <c r="H18" s="15"/>
      <c r="I18" s="15"/>
      <c r="J18" s="15"/>
      <c r="K18" s="15"/>
      <c r="L18" s="15"/>
    </row>
    <row r="19" spans="1:12" x14ac:dyDescent="0.3">
      <c r="A19" s="1">
        <v>46071</v>
      </c>
      <c r="B19" t="s">
        <v>16</v>
      </c>
      <c r="C19" t="s">
        <v>18</v>
      </c>
      <c r="D19" t="s">
        <v>5</v>
      </c>
      <c r="E19">
        <v>8000</v>
      </c>
      <c r="G19" s="15"/>
      <c r="H19" s="15"/>
      <c r="I19" s="15"/>
      <c r="J19" s="15"/>
      <c r="K19" s="15"/>
      <c r="L19" s="15"/>
    </row>
    <row r="20" spans="1:12" x14ac:dyDescent="0.3">
      <c r="A20" s="1">
        <v>46074</v>
      </c>
      <c r="B20" t="s">
        <v>19</v>
      </c>
      <c r="C20" t="s">
        <v>20</v>
      </c>
      <c r="D20" t="s">
        <v>7</v>
      </c>
      <c r="E20">
        <v>20000</v>
      </c>
      <c r="G20" s="15"/>
      <c r="H20" s="15"/>
      <c r="I20" s="15"/>
      <c r="J20" s="15"/>
      <c r="K20" s="15"/>
      <c r="L20" s="15"/>
    </row>
    <row r="21" spans="1:12" x14ac:dyDescent="0.3">
      <c r="A21" s="1">
        <v>46061</v>
      </c>
      <c r="B21" t="s">
        <v>14</v>
      </c>
      <c r="C21" t="s">
        <v>17</v>
      </c>
      <c r="D21" t="s">
        <v>3</v>
      </c>
      <c r="E21">
        <v>8000</v>
      </c>
      <c r="G21" s="15"/>
      <c r="H21" s="15"/>
      <c r="I21" s="15"/>
      <c r="J21" s="15"/>
      <c r="K21" s="15"/>
      <c r="L21" s="15"/>
    </row>
    <row r="22" spans="1:12" x14ac:dyDescent="0.3">
      <c r="G22" s="15"/>
      <c r="H22" s="15"/>
      <c r="I22" s="15"/>
      <c r="J22" s="15"/>
      <c r="K22" s="15"/>
      <c r="L22" s="15"/>
    </row>
    <row r="23" spans="1:12" x14ac:dyDescent="0.3">
      <c r="G23" s="15"/>
      <c r="H23" s="15"/>
      <c r="I23" s="15"/>
      <c r="J23" s="15"/>
      <c r="K23" s="15"/>
      <c r="L23" s="15"/>
    </row>
    <row r="24" spans="1:12" x14ac:dyDescent="0.3">
      <c r="G24" s="15"/>
      <c r="H24" s="15"/>
      <c r="I24" s="15"/>
      <c r="J24" s="15"/>
      <c r="K24" s="15"/>
      <c r="L24" s="15"/>
    </row>
    <row r="25" spans="1:12" x14ac:dyDescent="0.3">
      <c r="G25" s="15"/>
      <c r="H25" s="15"/>
      <c r="I25" s="15"/>
      <c r="J25" s="15"/>
      <c r="K25" s="15"/>
      <c r="L25" s="15"/>
    </row>
  </sheetData>
  <dataConsolidate/>
  <mergeCells count="1">
    <mergeCell ref="G11:L25"/>
  </mergeCell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8864-C313-4AB5-AF1B-C3A44E9B9048}">
  <dimension ref="A1"/>
  <sheetViews>
    <sheetView workbookViewId="0"/>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112037F-1357-4F74-8AFE-6F44A9EB78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vt:i4>
      </vt:variant>
    </vt:vector>
  </HeadingPairs>
  <TitlesOfParts>
    <vt:vector size="7" baseType="lpstr">
      <vt:lpstr>ventas</vt:lpstr>
      <vt:lpstr>productos</vt:lpstr>
      <vt:lpstr>ventas (3)</vt:lpstr>
      <vt:lpstr>ventas (2)</vt:lpstr>
      <vt:lpstr>ventas_febrero</vt:lpstr>
      <vt:lpstr>Hoja1</vt:lpstr>
      <vt:lpstr>'ventas (2)'!DatosExternos_1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Arias</dc:creator>
  <cp:lastModifiedBy>Ana Arias</cp:lastModifiedBy>
  <dcterms:created xsi:type="dcterms:W3CDTF">2015-06-05T18:19:34Z</dcterms:created>
  <dcterms:modified xsi:type="dcterms:W3CDTF">2026-09-07T20:27:32Z</dcterms:modified>
</cp:coreProperties>
</file>