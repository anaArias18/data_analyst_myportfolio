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s\Desktop\Data Analyst\Semana 1\"/>
    </mc:Choice>
  </mc:AlternateContent>
  <xr:revisionPtr revIDLastSave="0" documentId="13_ncr:1_{94C54EB6-750B-424B-8488-344F58498917}" xr6:coauthVersionLast="47" xr6:coauthVersionMax="47" xr10:uidLastSave="{00000000-0000-0000-0000-000000000000}"/>
  <bookViews>
    <workbookView xWindow="11424" yWindow="0" windowWidth="11712" windowHeight="12336" xr2:uid="{CFECC98C-334E-425F-A13A-D5E802DFB1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1" l="1"/>
  <c r="H15" i="1"/>
  <c r="H31" i="1"/>
  <c r="H30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40" i="1"/>
  <c r="H41" i="1"/>
  <c r="H42" i="1"/>
  <c r="H43" i="1"/>
  <c r="H11" i="1"/>
  <c r="H7" i="1"/>
  <c r="J2" i="1" a="1"/>
  <c r="J2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6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33" i="1"/>
  <c r="H45" i="1" s="1"/>
  <c r="E34" i="1"/>
  <c r="F34" i="1" s="1"/>
  <c r="E35" i="1"/>
  <c r="H47" i="1" s="1"/>
  <c r="E36" i="1"/>
  <c r="H48" i="1" s="1"/>
  <c r="E37" i="1"/>
  <c r="H49" i="1" s="1"/>
  <c r="E38" i="1"/>
  <c r="H50" i="1" s="1"/>
  <c r="E39" i="1"/>
  <c r="F39" i="1" s="1"/>
  <c r="E40" i="1"/>
  <c r="F40" i="1" s="1"/>
  <c r="E41" i="1"/>
  <c r="F41" i="1" s="1"/>
  <c r="E42" i="1"/>
  <c r="F42" i="1" s="1"/>
  <c r="E32" i="1"/>
  <c r="F32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2" i="1"/>
  <c r="F37" i="1" l="1"/>
  <c r="H46" i="1"/>
  <c r="H44" i="1"/>
  <c r="F38" i="1"/>
  <c r="F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<sst xmlns="http://schemas.openxmlformats.org/spreadsheetml/2006/main" count="159" uniqueCount="22">
  <si>
    <t>Fecha</t>
  </si>
  <si>
    <t>Region</t>
  </si>
  <si>
    <t>Vendedor</t>
  </si>
  <si>
    <t>Producto</t>
  </si>
  <si>
    <t>Monto</t>
  </si>
  <si>
    <t>Norte</t>
  </si>
  <si>
    <t>Sur</t>
  </si>
  <si>
    <t>Central</t>
  </si>
  <si>
    <t>pepe</t>
  </si>
  <si>
    <t>juan</t>
  </si>
  <si>
    <t>marta</t>
  </si>
  <si>
    <t>maria</t>
  </si>
  <si>
    <t>Laptop</t>
  </si>
  <si>
    <t>Mouse</t>
  </si>
  <si>
    <t>Teclado</t>
  </si>
  <si>
    <t>Monto dolares</t>
  </si>
  <si>
    <t>Tipo cambio dolar</t>
  </si>
  <si>
    <t>Vendedores</t>
  </si>
  <si>
    <t>Vendido Region Norte</t>
  </si>
  <si>
    <t>Ventas realizadas por pepe</t>
  </si>
  <si>
    <t xml:space="preserve">IF </t>
  </si>
  <si>
    <t>Hasta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</si>
</sst>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-[$₡-140A]* #,##0.00_-;\-[$₡-140A]* #,##0.00_-;_-[$₡-140A]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Moneda" xfId="1" builtinId="4"/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19" formatCode="m/d/yyyy"/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D21EC-3654-4EAC-9C03-497B74257443}" name="PrimerTabla" displayName="PrimerTabla" ref="A1:F50" totalsRowShown="0" headerRowDxfId="2">
  <autoFilter ref="A1:F50" xr:uid="{74ED21EC-3654-4EAC-9C03-497B74257443}"/>
  <tableColumns count="6">
    <tableColumn id="1" xr3:uid="{9E53DD2D-D787-4B26-81EE-5DE7278FB269}" name="Fecha" dataDxfId="1">
      <calculatedColumnFormula>TODAY()</calculatedColumnFormula>
    </tableColumn>
    <tableColumn id="2" xr3:uid="{E1DB6447-7A03-4C65-A8B6-6A09D5B2BC34}" name="Region"/>
    <tableColumn id="3" xr3:uid="{0C216656-F871-4184-9A67-397B03E0BBFD}" name="Vendedor"/>
    <tableColumn id="4" xr3:uid="{A16F0C7C-28F5-42AE-AD64-4FE80DEA480F}" name="Producto"/>
    <tableColumn id="5" xr3:uid="{7EE27B25-033B-4A5C-A073-AEC5AC914B80}" name="Monto">
      <calculatedColumnFormula>$E$31</calculatedColumnFormula>
    </tableColumn>
    <tableColumn id="6" xr3:uid="{F9B1C344-5068-4D1D-AE8D-78C56332C6C2}" name="Monto dolares" dataDxfId="0">
      <calculatedColumnFormula>PrimerTabla[[#This Row],[Monto]]/$H$2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0EE3-8B90-40D2-A9D5-A2E3BAD39AF4}">
  <dimension ref="A1:J50"/>
  <sheetViews>
    <sheetView tabSelected="1" zoomScale="80" zoomScaleNormal="80" workbookViewId="0">
      <selection activeCell="I51" sqref="I51"/>
    </sheetView>
  </sheetViews>
  <sheetFormatPr baseColWidth="10" defaultRowHeight="14.4" x14ac:dyDescent="0.3"/>
  <cols>
    <col min="1" max="1" width="10.33203125" bestFit="1" customWidth="1"/>
    <col min="6" max="6" width="14.77734375" customWidth="1"/>
    <col min="8" max="8" width="24.441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H1" s="2" t="s">
        <v>16</v>
      </c>
      <c r="J1" s="6" t="s">
        <v>17</v>
      </c>
    </row>
    <row r="2" spans="1:10" x14ac:dyDescent="0.3">
      <c r="A2" s="1">
        <f ca="1">TODAY()</f>
        <v>46259</v>
      </c>
      <c r="B2" t="s">
        <v>5</v>
      </c>
      <c r="C2" t="s">
        <v>8</v>
      </c>
      <c r="D2" t="s">
        <v>12</v>
      </c>
      <c r="E2" s="5">
        <v>20000</v>
      </c>
      <c r="F2" s="4">
        <f>PrimerTabla[[#This Row],[Monto]]/$H$2</f>
        <v>38.46153846153846</v>
      </c>
      <c r="H2">
        <v>520</v>
      </c>
      <c r="J2" t="str" cm="1">
        <f t="array" ref="J2:J5">_xlfn.UNIQUE(PrimerTabla[Vendedor])</f>
        <v>pepe</v>
      </c>
    </row>
    <row r="3" spans="1:10" x14ac:dyDescent="0.3">
      <c r="A3" s="1">
        <v>45923</v>
      </c>
      <c r="B3" t="s">
        <v>6</v>
      </c>
      <c r="C3" t="s">
        <v>9</v>
      </c>
      <c r="D3" t="s">
        <v>13</v>
      </c>
      <c r="E3" s="5">
        <v>5000</v>
      </c>
      <c r="F3" s="3">
        <f>PrimerTabla[[#This Row],[Monto]]/$H$2</f>
        <v>9.615384615384615</v>
      </c>
      <c r="J3" t="str">
        <v>juan</v>
      </c>
    </row>
    <row r="4" spans="1:10" x14ac:dyDescent="0.3">
      <c r="A4" s="1">
        <v>44899</v>
      </c>
      <c r="B4" t="s">
        <v>7</v>
      </c>
      <c r="C4" t="s">
        <v>10</v>
      </c>
      <c r="D4" t="s">
        <v>13</v>
      </c>
      <c r="E4" s="5">
        <v>5000</v>
      </c>
      <c r="F4" s="3">
        <f>PrimerTabla[[#This Row],[Monto]]/$H$2</f>
        <v>9.615384615384615</v>
      </c>
      <c r="J4" t="str">
        <v>marta</v>
      </c>
    </row>
    <row r="5" spans="1:10" x14ac:dyDescent="0.3">
      <c r="A5" s="1">
        <v>44594</v>
      </c>
      <c r="B5" t="s">
        <v>6</v>
      </c>
      <c r="C5" t="s">
        <v>11</v>
      </c>
      <c r="D5" t="s">
        <v>14</v>
      </c>
      <c r="E5" s="5">
        <v>4000</v>
      </c>
      <c r="F5" s="3">
        <f>PrimerTabla[[#This Row],[Monto]]/$H$2</f>
        <v>7.6923076923076925</v>
      </c>
      <c r="J5" t="str">
        <v>maria</v>
      </c>
    </row>
    <row r="6" spans="1:10" x14ac:dyDescent="0.3">
      <c r="A6" s="1">
        <v>45813</v>
      </c>
      <c r="B6" t="s">
        <v>5</v>
      </c>
      <c r="C6" t="s">
        <v>8</v>
      </c>
      <c r="D6" t="s">
        <v>13</v>
      </c>
      <c r="E6" s="5">
        <v>5000</v>
      </c>
      <c r="F6" s="3">
        <f>PrimerTabla[[#This Row],[Monto]]/$H$2</f>
        <v>9.615384615384615</v>
      </c>
      <c r="H6" s="7" t="s">
        <v>18</v>
      </c>
    </row>
    <row r="7" spans="1:10" x14ac:dyDescent="0.3">
      <c r="A7" s="1">
        <v>45813</v>
      </c>
      <c r="B7" t="s">
        <v>5</v>
      </c>
      <c r="C7" t="s">
        <v>9</v>
      </c>
      <c r="D7" t="s">
        <v>12</v>
      </c>
      <c r="E7" s="5">
        <v>5000</v>
      </c>
      <c r="F7" s="3">
        <f>PrimerTabla[[#This Row],[Monto]]/$H$2</f>
        <v>9.615384615384615</v>
      </c>
      <c r="H7" s="5">
        <f>SUMIF(PrimerTabla[Region],"Norte",PrimerTabla[Monto])</f>
        <v>784000</v>
      </c>
    </row>
    <row r="8" spans="1:10" x14ac:dyDescent="0.3">
      <c r="A8" s="1">
        <v>45813</v>
      </c>
      <c r="B8" t="s">
        <v>6</v>
      </c>
      <c r="C8" t="s">
        <v>10</v>
      </c>
      <c r="D8" t="s">
        <v>12</v>
      </c>
      <c r="E8" s="5">
        <v>5000</v>
      </c>
      <c r="F8" s="3">
        <f>PrimerTabla[[#This Row],[Monto]]/$H$2</f>
        <v>9.615384615384615</v>
      </c>
    </row>
    <row r="9" spans="1:10" x14ac:dyDescent="0.3">
      <c r="A9" s="1">
        <v>45813</v>
      </c>
      <c r="B9" t="s">
        <v>7</v>
      </c>
      <c r="C9" t="s">
        <v>11</v>
      </c>
      <c r="D9" t="s">
        <v>13</v>
      </c>
      <c r="E9" s="5">
        <v>5000</v>
      </c>
      <c r="F9" s="3">
        <f>PrimerTabla[[#This Row],[Monto]]/$H$2</f>
        <v>9.615384615384615</v>
      </c>
    </row>
    <row r="10" spans="1:10" x14ac:dyDescent="0.3">
      <c r="A10" s="1">
        <v>45813</v>
      </c>
      <c r="B10" t="s">
        <v>6</v>
      </c>
      <c r="C10" t="s">
        <v>8</v>
      </c>
      <c r="D10" t="s">
        <v>13</v>
      </c>
      <c r="E10" s="5">
        <v>5000</v>
      </c>
      <c r="F10" s="3">
        <f>PrimerTabla[[#This Row],[Monto]]/$H$2</f>
        <v>9.615384615384615</v>
      </c>
      <c r="H10" s="8" t="s">
        <v>19</v>
      </c>
    </row>
    <row r="11" spans="1:10" x14ac:dyDescent="0.3">
      <c r="A11" s="1">
        <v>45813</v>
      </c>
      <c r="B11" t="s">
        <v>5</v>
      </c>
      <c r="C11" t="s">
        <v>9</v>
      </c>
      <c r="D11" t="s">
        <v>14</v>
      </c>
      <c r="E11" s="5">
        <v>5000</v>
      </c>
      <c r="F11" s="3">
        <f>PrimerTabla[[#This Row],[Monto]]/$H$2</f>
        <v>9.615384615384615</v>
      </c>
      <c r="H11">
        <f>COUNTIF(PrimerTabla[Vendedor],"pepe")</f>
        <v>14</v>
      </c>
    </row>
    <row r="12" spans="1:10" x14ac:dyDescent="0.3">
      <c r="A12" s="1">
        <v>45813</v>
      </c>
      <c r="B12" t="s">
        <v>5</v>
      </c>
      <c r="C12" t="s">
        <v>10</v>
      </c>
      <c r="D12" t="s">
        <v>13</v>
      </c>
      <c r="E12" s="5">
        <v>4000</v>
      </c>
      <c r="F12" s="3">
        <f>PrimerTabla[[#This Row],[Monto]]/$H$2</f>
        <v>7.6923076923076925</v>
      </c>
    </row>
    <row r="13" spans="1:10" x14ac:dyDescent="0.3">
      <c r="A13" s="1">
        <v>45813</v>
      </c>
      <c r="B13" t="s">
        <v>6</v>
      </c>
      <c r="C13" t="s">
        <v>11</v>
      </c>
      <c r="D13" t="s">
        <v>12</v>
      </c>
      <c r="E13" s="5">
        <v>4000</v>
      </c>
      <c r="F13" s="3">
        <f>PrimerTabla[[#This Row],[Monto]]/$H$2</f>
        <v>7.6923076923076925</v>
      </c>
      <c r="H13" s="9" t="s">
        <v>20</v>
      </c>
    </row>
    <row r="14" spans="1:10" x14ac:dyDescent="0.3">
      <c r="A14" s="1">
        <v>45813</v>
      </c>
      <c r="B14" t="s">
        <v>7</v>
      </c>
      <c r="C14" t="s">
        <v>8</v>
      </c>
      <c r="D14" t="s">
        <v>12</v>
      </c>
      <c r="E14" s="5">
        <v>4000</v>
      </c>
      <c r="F14" s="3">
        <f>PrimerTabla[[#This Row],[Monto]]/$H$2</f>
        <v>7.6923076923076925</v>
      </c>
      <c r="H14" t="str">
        <f>IF(E2&gt;50000,"Alta","Baja")</f>
        <v>Baja</v>
      </c>
    </row>
    <row r="15" spans="1:10" x14ac:dyDescent="0.3">
      <c r="A15" s="1">
        <v>45813</v>
      </c>
      <c r="B15" t="s">
        <v>6</v>
      </c>
      <c r="C15" t="s">
        <v>9</v>
      </c>
      <c r="D15" t="s">
        <v>13</v>
      </c>
      <c r="E15" s="5">
        <v>4000</v>
      </c>
      <c r="F15" s="3">
        <f>PrimerTabla[[#This Row],[Monto]]/$H$2</f>
        <v>7.6923076923076925</v>
      </c>
      <c r="H15" t="str">
        <f>IF(E3&gt;50000,"Alta","Baja")</f>
        <v>Baja</v>
      </c>
    </row>
    <row r="16" spans="1:10" x14ac:dyDescent="0.3">
      <c r="A16" s="1">
        <v>44594</v>
      </c>
      <c r="B16" t="s">
        <v>5</v>
      </c>
      <c r="C16" t="s">
        <v>10</v>
      </c>
      <c r="D16" t="s">
        <v>13</v>
      </c>
      <c r="E16" s="5">
        <v>4000</v>
      </c>
      <c r="F16" s="3">
        <f>PrimerTabla[[#This Row],[Monto]]/$H$2</f>
        <v>7.6923076923076925</v>
      </c>
      <c r="H16" t="str">
        <f>IF(E4&gt;50000,"Alta","Baja")</f>
        <v>Baja</v>
      </c>
    </row>
    <row r="17" spans="1:8" x14ac:dyDescent="0.3">
      <c r="A17" s="1">
        <v>44595</v>
      </c>
      <c r="B17" t="s">
        <v>5</v>
      </c>
      <c r="C17" t="s">
        <v>11</v>
      </c>
      <c r="D17" t="s">
        <v>14</v>
      </c>
      <c r="E17" s="5">
        <v>4000</v>
      </c>
      <c r="F17" s="3">
        <f>PrimerTabla[[#This Row],[Monto]]/$H$2</f>
        <v>7.6923076923076925</v>
      </c>
      <c r="H17" t="str">
        <f>IF(E5&gt;50000,"Alta","Baja")</f>
        <v>Baja</v>
      </c>
    </row>
    <row r="18" spans="1:8" x14ac:dyDescent="0.3">
      <c r="A18" s="1">
        <v>44596</v>
      </c>
      <c r="B18" t="s">
        <v>6</v>
      </c>
      <c r="C18" t="s">
        <v>8</v>
      </c>
      <c r="D18" t="s">
        <v>13</v>
      </c>
      <c r="E18" s="5">
        <v>4000</v>
      </c>
      <c r="F18" s="3">
        <f>PrimerTabla[[#This Row],[Monto]]/$H$2</f>
        <v>7.6923076923076925</v>
      </c>
      <c r="H18" t="str">
        <f>IF(E6&gt;50000,"Alta","Baja")</f>
        <v>Baja</v>
      </c>
    </row>
    <row r="19" spans="1:8" x14ac:dyDescent="0.3">
      <c r="A19" s="1">
        <v>44597</v>
      </c>
      <c r="B19" t="s">
        <v>7</v>
      </c>
      <c r="C19" t="s">
        <v>9</v>
      </c>
      <c r="D19" t="s">
        <v>12</v>
      </c>
      <c r="E19" s="5">
        <v>4000</v>
      </c>
      <c r="F19" s="3">
        <f>PrimerTabla[[#This Row],[Monto]]/$H$2</f>
        <v>7.6923076923076925</v>
      </c>
      <c r="H19" t="str">
        <f>IF(E7&gt;50000,"Alta","Baja")</f>
        <v>Baja</v>
      </c>
    </row>
    <row r="20" spans="1:8" x14ac:dyDescent="0.3">
      <c r="A20" s="1">
        <v>44598</v>
      </c>
      <c r="B20" t="s">
        <v>6</v>
      </c>
      <c r="C20" t="s">
        <v>10</v>
      </c>
      <c r="D20" t="s">
        <v>12</v>
      </c>
      <c r="E20" s="5">
        <v>4000</v>
      </c>
      <c r="F20" s="3">
        <f>PrimerTabla[[#This Row],[Monto]]/$H$2</f>
        <v>7.6923076923076925</v>
      </c>
      <c r="H20" t="str">
        <f>IF(E8&gt;50000,"Alta","Baja")</f>
        <v>Baja</v>
      </c>
    </row>
    <row r="21" spans="1:8" x14ac:dyDescent="0.3">
      <c r="A21" s="1">
        <v>44599</v>
      </c>
      <c r="B21" t="s">
        <v>5</v>
      </c>
      <c r="C21" t="s">
        <v>11</v>
      </c>
      <c r="D21" t="s">
        <v>13</v>
      </c>
      <c r="E21" s="5">
        <v>4000</v>
      </c>
      <c r="F21" s="3">
        <f>PrimerTabla[[#This Row],[Monto]]/$H$2</f>
        <v>7.6923076923076925</v>
      </c>
      <c r="H21" t="str">
        <f>IF(E9&gt;50000,"Alta","Baja")</f>
        <v>Baja</v>
      </c>
    </row>
    <row r="22" spans="1:8" x14ac:dyDescent="0.3">
      <c r="A22" s="1">
        <v>44600</v>
      </c>
      <c r="B22" t="s">
        <v>5</v>
      </c>
      <c r="C22" t="s">
        <v>8</v>
      </c>
      <c r="D22" t="s">
        <v>13</v>
      </c>
      <c r="E22" s="5">
        <v>4000</v>
      </c>
      <c r="F22" s="3">
        <f>PrimerTabla[[#This Row],[Monto]]/$H$2</f>
        <v>7.6923076923076925</v>
      </c>
      <c r="H22" t="str">
        <f>IF(E10&gt;50000,"Alta","Baja")</f>
        <v>Baja</v>
      </c>
    </row>
    <row r="23" spans="1:8" x14ac:dyDescent="0.3">
      <c r="A23" s="1">
        <v>44601</v>
      </c>
      <c r="B23" t="s">
        <v>6</v>
      </c>
      <c r="C23" t="s">
        <v>9</v>
      </c>
      <c r="D23" t="s">
        <v>14</v>
      </c>
      <c r="E23" s="5">
        <v>4000</v>
      </c>
      <c r="F23" s="3">
        <f>PrimerTabla[[#This Row],[Monto]]/$H$2</f>
        <v>7.6923076923076925</v>
      </c>
      <c r="H23" t="str">
        <f>IF(E11&gt;50000,"Alta","Baja")</f>
        <v>Baja</v>
      </c>
    </row>
    <row r="24" spans="1:8" x14ac:dyDescent="0.3">
      <c r="A24" s="1">
        <v>44602</v>
      </c>
      <c r="B24" t="s">
        <v>7</v>
      </c>
      <c r="C24" t="s">
        <v>10</v>
      </c>
      <c r="D24" t="s">
        <v>13</v>
      </c>
      <c r="E24" s="5">
        <v>10000</v>
      </c>
      <c r="F24" s="3">
        <f>PrimerTabla[[#This Row],[Monto]]/$H$2</f>
        <v>19.23076923076923</v>
      </c>
      <c r="H24" t="str">
        <f>IF(E12&gt;50000,"Alta","Baja")</f>
        <v>Baja</v>
      </c>
    </row>
    <row r="25" spans="1:8" x14ac:dyDescent="0.3">
      <c r="A25" s="1">
        <v>44603</v>
      </c>
      <c r="B25" t="s">
        <v>6</v>
      </c>
      <c r="C25" t="s">
        <v>11</v>
      </c>
      <c r="D25" t="s">
        <v>12</v>
      </c>
      <c r="E25" s="5">
        <v>5000</v>
      </c>
      <c r="F25" s="3">
        <f>PrimerTabla[[#This Row],[Monto]]/$H$2</f>
        <v>9.615384615384615</v>
      </c>
      <c r="H25" t="str">
        <f>IF(E13&gt;50000,"Alta","Baja")</f>
        <v>Baja</v>
      </c>
    </row>
    <row r="26" spans="1:8" x14ac:dyDescent="0.3">
      <c r="A26" s="1">
        <v>45923</v>
      </c>
      <c r="B26" t="s">
        <v>5</v>
      </c>
      <c r="C26" t="s">
        <v>8</v>
      </c>
      <c r="D26" t="s">
        <v>12</v>
      </c>
      <c r="E26" s="5">
        <v>4000</v>
      </c>
      <c r="F26" s="3">
        <f>PrimerTabla[[#This Row],[Monto]]/$H$2</f>
        <v>7.6923076923076925</v>
      </c>
      <c r="H26" t="str">
        <f>IF(E14&gt;50000,"Alta","Baja")</f>
        <v>Baja</v>
      </c>
    </row>
    <row r="27" spans="1:8" x14ac:dyDescent="0.3">
      <c r="A27" s="1">
        <v>45924</v>
      </c>
      <c r="B27" t="s">
        <v>5</v>
      </c>
      <c r="C27" t="s">
        <v>9</v>
      </c>
      <c r="D27" t="s">
        <v>13</v>
      </c>
      <c r="E27" s="5">
        <v>50000</v>
      </c>
      <c r="F27" s="3">
        <f>PrimerTabla[[#This Row],[Monto]]/$H$2</f>
        <v>96.15384615384616</v>
      </c>
      <c r="H27" t="str">
        <f>IF(E15&gt;50000,"Alta","Baja")</f>
        <v>Baja</v>
      </c>
    </row>
    <row r="28" spans="1:8" x14ac:dyDescent="0.3">
      <c r="A28" s="1">
        <v>45925</v>
      </c>
      <c r="B28" t="s">
        <v>6</v>
      </c>
      <c r="C28" t="s">
        <v>8</v>
      </c>
      <c r="D28" t="s">
        <v>13</v>
      </c>
      <c r="E28" s="5">
        <v>70000</v>
      </c>
      <c r="F28" s="3">
        <f>PrimerTabla[[#This Row],[Monto]]/$H$2</f>
        <v>134.61538461538461</v>
      </c>
      <c r="H28" t="str">
        <f>IF(E16&gt;50000,"Alta","Baja")</f>
        <v>Baja</v>
      </c>
    </row>
    <row r="29" spans="1:8" x14ac:dyDescent="0.3">
      <c r="A29" s="1">
        <v>45926</v>
      </c>
      <c r="B29" t="s">
        <v>7</v>
      </c>
      <c r="C29" t="s">
        <v>9</v>
      </c>
      <c r="D29" t="s">
        <v>14</v>
      </c>
      <c r="E29" s="5">
        <v>40000</v>
      </c>
      <c r="F29" s="3">
        <f>PrimerTabla[[#This Row],[Monto]]/$H$2</f>
        <v>76.92307692307692</v>
      </c>
      <c r="H29" t="str">
        <f>IF(E17&gt;50000,"Alta","Baja")</f>
        <v>Baja</v>
      </c>
    </row>
    <row r="30" spans="1:8" x14ac:dyDescent="0.3">
      <c r="A30" s="1">
        <v>45927</v>
      </c>
      <c r="B30" t="s">
        <v>6</v>
      </c>
      <c r="C30" t="s">
        <v>10</v>
      </c>
      <c r="D30" t="s">
        <v>13</v>
      </c>
      <c r="E30" s="5">
        <v>60000</v>
      </c>
      <c r="F30" s="3">
        <f>PrimerTabla[[#This Row],[Monto]]/$H$2</f>
        <v>115.38461538461539</v>
      </c>
      <c r="H30" t="str">
        <f>IF(E30&gt;50000,"Alta","Baja")</f>
        <v>Alta</v>
      </c>
    </row>
    <row r="31" spans="1:8" x14ac:dyDescent="0.3">
      <c r="A31" s="1">
        <v>45928</v>
      </c>
      <c r="B31" t="s">
        <v>5</v>
      </c>
      <c r="C31" t="s">
        <v>11</v>
      </c>
      <c r="D31" t="s">
        <v>12</v>
      </c>
      <c r="E31" s="5">
        <v>75000</v>
      </c>
      <c r="F31" s="3">
        <f>PrimerTabla[[#This Row],[Monto]]/$H$2</f>
        <v>144.23076923076923</v>
      </c>
      <c r="H31" t="str">
        <f>IF(I14&gt;50000,"Alta","Baja")</f>
        <v>Baja</v>
      </c>
    </row>
    <row r="32" spans="1:8" x14ac:dyDescent="0.3">
      <c r="A32" s="1">
        <v>45929</v>
      </c>
      <c r="B32" t="s">
        <v>5</v>
      </c>
      <c r="C32" t="s">
        <v>8</v>
      </c>
      <c r="D32" t="s">
        <v>12</v>
      </c>
      <c r="E32" s="5">
        <f>$E$31</f>
        <v>75000</v>
      </c>
      <c r="F32" s="3">
        <f>PrimerTabla[[#This Row],[Monto]]/$H$2</f>
        <v>144.23076923076923</v>
      </c>
      <c r="H32" t="str">
        <f>IF(E20&gt;50000,"Alta","Baja")</f>
        <v>Baja</v>
      </c>
    </row>
    <row r="33" spans="1:8" x14ac:dyDescent="0.3">
      <c r="A33" s="1">
        <v>45930</v>
      </c>
      <c r="B33" t="s">
        <v>6</v>
      </c>
      <c r="C33" t="s">
        <v>9</v>
      </c>
      <c r="D33" t="s">
        <v>13</v>
      </c>
      <c r="E33" s="5">
        <f t="shared" ref="E33:E50" si="0">$E$31</f>
        <v>75000</v>
      </c>
      <c r="F33" s="3">
        <f>PrimerTabla[[#This Row],[Monto]]/$H$2</f>
        <v>144.23076923076923</v>
      </c>
      <c r="H33" t="str">
        <f>IF(E21&gt;50000,"Alta","Baja")</f>
        <v>Baja</v>
      </c>
    </row>
    <row r="34" spans="1:8" x14ac:dyDescent="0.3">
      <c r="A34" s="1">
        <v>45931</v>
      </c>
      <c r="B34" t="s">
        <v>7</v>
      </c>
      <c r="C34" t="s">
        <v>10</v>
      </c>
      <c r="D34" t="s">
        <v>13</v>
      </c>
      <c r="E34" s="5">
        <f t="shared" si="0"/>
        <v>75000</v>
      </c>
      <c r="F34" s="3">
        <f>PrimerTabla[[#This Row],[Monto]]/$H$2</f>
        <v>144.23076923076923</v>
      </c>
      <c r="H34" t="str">
        <f>IF(E22&gt;50000,"Alta","Baja")</f>
        <v>Baja</v>
      </c>
    </row>
    <row r="35" spans="1:8" x14ac:dyDescent="0.3">
      <c r="A35" s="1">
        <f ca="1">TODAY()</f>
        <v>46259</v>
      </c>
      <c r="B35" t="s">
        <v>6</v>
      </c>
      <c r="C35" t="s">
        <v>11</v>
      </c>
      <c r="D35" t="s">
        <v>14</v>
      </c>
      <c r="E35" s="5">
        <f t="shared" si="0"/>
        <v>75000</v>
      </c>
      <c r="F35" s="3">
        <f>PrimerTabla[[#This Row],[Monto]]/$H$2</f>
        <v>144.23076923076923</v>
      </c>
      <c r="H35" t="str">
        <f>IF(E23&gt;50000,"Alta","Baja")</f>
        <v>Baja</v>
      </c>
    </row>
    <row r="36" spans="1:8" x14ac:dyDescent="0.3">
      <c r="A36" s="1">
        <f t="shared" ref="A36:A50" ca="1" si="1">TODAY()</f>
        <v>46259</v>
      </c>
      <c r="B36" t="s">
        <v>5</v>
      </c>
      <c r="C36" t="s">
        <v>8</v>
      </c>
      <c r="D36" t="s">
        <v>13</v>
      </c>
      <c r="E36" s="5">
        <f t="shared" si="0"/>
        <v>75000</v>
      </c>
      <c r="F36" s="3">
        <f>PrimerTabla[[#This Row],[Monto]]/$H$2</f>
        <v>144.23076923076923</v>
      </c>
      <c r="H36" t="str">
        <f>IF(E24&gt;50000,"Alta","Baja")</f>
        <v>Baja</v>
      </c>
    </row>
    <row r="37" spans="1:8" x14ac:dyDescent="0.3">
      <c r="A37" s="1">
        <f t="shared" ca="1" si="1"/>
        <v>46259</v>
      </c>
      <c r="B37" t="s">
        <v>5</v>
      </c>
      <c r="C37" t="s">
        <v>9</v>
      </c>
      <c r="D37" t="s">
        <v>12</v>
      </c>
      <c r="E37" s="5">
        <f t="shared" si="0"/>
        <v>75000</v>
      </c>
      <c r="F37" s="3">
        <f>PrimerTabla[[#This Row],[Monto]]/$H$2</f>
        <v>144.23076923076923</v>
      </c>
      <c r="H37" t="str">
        <f>IF(E25&gt;50000,"Alta","Baja")</f>
        <v>Baja</v>
      </c>
    </row>
    <row r="38" spans="1:8" x14ac:dyDescent="0.3">
      <c r="A38" s="1">
        <f t="shared" ca="1" si="1"/>
        <v>46259</v>
      </c>
      <c r="B38" t="s">
        <v>6</v>
      </c>
      <c r="C38" t="s">
        <v>10</v>
      </c>
      <c r="D38" t="s">
        <v>12</v>
      </c>
      <c r="E38" s="5">
        <f t="shared" si="0"/>
        <v>75000</v>
      </c>
      <c r="F38" s="3">
        <f>PrimerTabla[[#This Row],[Monto]]/$H$2</f>
        <v>144.23076923076923</v>
      </c>
      <c r="H38" t="str">
        <f>IF(E26&gt;50000,"Alta","Baja")</f>
        <v>Baja</v>
      </c>
    </row>
    <row r="39" spans="1:8" x14ac:dyDescent="0.3">
      <c r="A39" s="1">
        <f t="shared" ca="1" si="1"/>
        <v>46259</v>
      </c>
      <c r="B39" t="s">
        <v>7</v>
      </c>
      <c r="C39" t="s">
        <v>11</v>
      </c>
      <c r="D39" t="s">
        <v>13</v>
      </c>
      <c r="E39" s="5">
        <f t="shared" si="0"/>
        <v>75000</v>
      </c>
      <c r="F39" s="3">
        <f>PrimerTabla[[#This Row],[Monto]]/$H$2</f>
        <v>144.23076923076923</v>
      </c>
      <c r="H39" t="str">
        <f>IF(E27&gt;50000,"Alta","Baja")</f>
        <v>Baja</v>
      </c>
    </row>
    <row r="40" spans="1:8" x14ac:dyDescent="0.3">
      <c r="A40" s="1">
        <f t="shared" ca="1" si="1"/>
        <v>46259</v>
      </c>
      <c r="B40" t="s">
        <v>6</v>
      </c>
      <c r="C40" t="s">
        <v>8</v>
      </c>
      <c r="D40" t="s">
        <v>13</v>
      </c>
      <c r="E40" s="5">
        <f t="shared" si="0"/>
        <v>75000</v>
      </c>
      <c r="F40" s="3">
        <f>PrimerTabla[[#This Row],[Monto]]/$H$2</f>
        <v>144.23076923076923</v>
      </c>
      <c r="H40" t="str">
        <f>IF(E28&gt;50000,"Alta","Baja")</f>
        <v>Alta</v>
      </c>
    </row>
    <row r="41" spans="1:8" x14ac:dyDescent="0.3">
      <c r="A41" s="1">
        <f t="shared" ca="1" si="1"/>
        <v>46259</v>
      </c>
      <c r="B41" t="s">
        <v>5</v>
      </c>
      <c r="C41" t="s">
        <v>9</v>
      </c>
      <c r="D41" t="s">
        <v>14</v>
      </c>
      <c r="E41" s="5">
        <f t="shared" si="0"/>
        <v>75000</v>
      </c>
      <c r="F41" s="3">
        <f>PrimerTabla[[#This Row],[Monto]]/$H$2</f>
        <v>144.23076923076923</v>
      </c>
      <c r="H41" t="str">
        <f>IF(E29&gt;50000,"Alta","Baja")</f>
        <v>Baja</v>
      </c>
    </row>
    <row r="42" spans="1:8" x14ac:dyDescent="0.3">
      <c r="A42" s="1">
        <f t="shared" ca="1" si="1"/>
        <v>46259</v>
      </c>
      <c r="B42" t="s">
        <v>5</v>
      </c>
      <c r="C42" t="s">
        <v>10</v>
      </c>
      <c r="D42" t="s">
        <v>13</v>
      </c>
      <c r="E42" s="5">
        <f t="shared" si="0"/>
        <v>75000</v>
      </c>
      <c r="F42" s="3">
        <f>PrimerTabla[[#This Row],[Monto]]/$H$2</f>
        <v>144.23076923076923</v>
      </c>
      <c r="H42" t="str">
        <f>IF(E30&gt;50000,"Alta","Baja")</f>
        <v>Alta</v>
      </c>
    </row>
    <row r="43" spans="1:8" x14ac:dyDescent="0.3">
      <c r="A43" s="1">
        <f t="shared" ca="1" si="1"/>
        <v>46259</v>
      </c>
      <c r="B43" t="s">
        <v>5</v>
      </c>
      <c r="C43" t="s">
        <v>11</v>
      </c>
      <c r="D43" t="s">
        <v>12</v>
      </c>
      <c r="E43" s="5">
        <f>$E$31</f>
        <v>75000</v>
      </c>
      <c r="F43" s="3">
        <f>PrimerTabla[[#This Row],[Monto]]/$H$2</f>
        <v>144.23076923076923</v>
      </c>
      <c r="H43" t="str">
        <f>IF(E31&gt;50000,"Alta","Baja")</f>
        <v>Alta</v>
      </c>
    </row>
    <row r="44" spans="1:8" x14ac:dyDescent="0.3">
      <c r="A44" s="1">
        <f t="shared" ca="1" si="1"/>
        <v>46259</v>
      </c>
      <c r="B44" t="s">
        <v>6</v>
      </c>
      <c r="C44" t="s">
        <v>8</v>
      </c>
      <c r="D44" t="s">
        <v>12</v>
      </c>
      <c r="E44" s="5">
        <f t="shared" si="0"/>
        <v>75000</v>
      </c>
      <c r="F44" s="3">
        <f>PrimerTabla[[#This Row],[Monto]]/$H$2</f>
        <v>144.23076923076923</v>
      </c>
      <c r="H44" t="str">
        <f>IF(E32&gt;50000,"Alta","Baja")</f>
        <v>Alta</v>
      </c>
    </row>
    <row r="45" spans="1:8" x14ac:dyDescent="0.3">
      <c r="A45" s="1">
        <f t="shared" ca="1" si="1"/>
        <v>46259</v>
      </c>
      <c r="B45" t="s">
        <v>7</v>
      </c>
      <c r="C45" t="s">
        <v>8</v>
      </c>
      <c r="D45" t="s">
        <v>13</v>
      </c>
      <c r="E45" s="5">
        <f t="shared" si="0"/>
        <v>75000</v>
      </c>
      <c r="F45" s="3">
        <f>PrimerTabla[[#This Row],[Monto]]/$H$2</f>
        <v>144.23076923076923</v>
      </c>
      <c r="H45" t="str">
        <f>IF(E33&gt;50000,"Alta","Baja")</f>
        <v>Alta</v>
      </c>
    </row>
    <row r="46" spans="1:8" x14ac:dyDescent="0.3">
      <c r="A46" s="1">
        <f t="shared" ca="1" si="1"/>
        <v>46259</v>
      </c>
      <c r="B46" t="s">
        <v>6</v>
      </c>
      <c r="C46" t="s">
        <v>9</v>
      </c>
      <c r="D46" t="s">
        <v>13</v>
      </c>
      <c r="E46" s="5">
        <f t="shared" si="0"/>
        <v>75000</v>
      </c>
      <c r="F46" s="3">
        <f>PrimerTabla[[#This Row],[Monto]]/$H$2</f>
        <v>144.23076923076923</v>
      </c>
      <c r="H46" t="str">
        <f>IF(E34&gt;50000,"Alta","Baja")</f>
        <v>Alta</v>
      </c>
    </row>
    <row r="47" spans="1:8" x14ac:dyDescent="0.3">
      <c r="A47" s="1">
        <f t="shared" ca="1" si="1"/>
        <v>46259</v>
      </c>
      <c r="B47" t="s">
        <v>5</v>
      </c>
      <c r="C47" t="s">
        <v>10</v>
      </c>
      <c r="D47" t="s">
        <v>14</v>
      </c>
      <c r="E47" s="5">
        <f t="shared" si="0"/>
        <v>75000</v>
      </c>
      <c r="F47" s="3">
        <f>PrimerTabla[[#This Row],[Monto]]/$H$2</f>
        <v>144.23076923076923</v>
      </c>
      <c r="H47" t="str">
        <f>IF(E35&gt;50000,"Alta","Baja")</f>
        <v>Alta</v>
      </c>
    </row>
    <row r="48" spans="1:8" x14ac:dyDescent="0.3">
      <c r="A48" s="1">
        <f t="shared" ca="1" si="1"/>
        <v>46259</v>
      </c>
      <c r="B48" t="s">
        <v>5</v>
      </c>
      <c r="C48" t="s">
        <v>11</v>
      </c>
      <c r="D48" t="s">
        <v>13</v>
      </c>
      <c r="E48" s="5">
        <f t="shared" si="0"/>
        <v>75000</v>
      </c>
      <c r="F48" s="3">
        <f>PrimerTabla[[#This Row],[Monto]]/$H$2</f>
        <v>144.23076923076923</v>
      </c>
      <c r="H48" t="str">
        <f>IF(E36&gt;50000,"Alta","Baja")</f>
        <v>Alta</v>
      </c>
    </row>
    <row r="49" spans="1:9" x14ac:dyDescent="0.3">
      <c r="A49" s="1">
        <f t="shared" ca="1" si="1"/>
        <v>46259</v>
      </c>
      <c r="B49" t="s">
        <v>6</v>
      </c>
      <c r="C49" t="s">
        <v>8</v>
      </c>
      <c r="D49" t="s">
        <v>12</v>
      </c>
      <c r="E49" s="5">
        <f t="shared" si="0"/>
        <v>75000</v>
      </c>
      <c r="F49" s="3">
        <f>PrimerTabla[[#This Row],[Monto]]/$H$2</f>
        <v>144.23076923076923</v>
      </c>
      <c r="H49" t="str">
        <f>IF(E37&gt;50000,"Alta","Baja")</f>
        <v>Alta</v>
      </c>
    </row>
    <row r="50" spans="1:9" x14ac:dyDescent="0.3">
      <c r="A50" s="1">
        <f t="shared" ca="1" si="1"/>
        <v>46259</v>
      </c>
      <c r="B50" t="s">
        <v>7</v>
      </c>
      <c r="C50" t="s">
        <v>9</v>
      </c>
      <c r="D50" t="s">
        <v>12</v>
      </c>
      <c r="E50" s="5">
        <f t="shared" si="0"/>
        <v>75000</v>
      </c>
      <c r="F50" s="3">
        <f>PrimerTabla[[#This Row],[Monto]]/$H$2</f>
        <v>144.23076923076923</v>
      </c>
      <c r="H50" t="str">
        <f>IF(E38&gt;50000,"Alta","Baja")</f>
        <v>Alta</v>
      </c>
      <c r="I50" t="s">
        <v>21</v>
      </c>
    </row>
  </sheetData>
  <pageMargins left="0.7" right="0.7" top="0.75" bottom="0.75" header="0.3" footer="0.3"/>
  <ignoredErrors>
    <ignoredError sqref="E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Arias</dc:creator>
  <cp:lastModifiedBy>Ana Arias</cp:lastModifiedBy>
  <dcterms:created xsi:type="dcterms:W3CDTF">2026-08-24T20:36:21Z</dcterms:created>
  <dcterms:modified xsi:type="dcterms:W3CDTF">2026-08-25T20:22:59Z</dcterms:modified>
</cp:coreProperties>
</file>